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tables/table2.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13_ncr:1_{A85D225B-61FB-4CE6-925D-EE0F38C3685B}" xr6:coauthVersionLast="47" xr6:coauthVersionMax="47" xr10:uidLastSave="{00000000-0000-0000-0000-000000000000}"/>
  <bookViews>
    <workbookView xWindow="-108" yWindow="-108" windowWidth="23256" windowHeight="12456" xr2:uid="{00000000-000D-0000-FFFF-FFFF00000000}"/>
  </bookViews>
  <sheets>
    <sheet name="Project tracker" sheetId="1" r:id="rId1"/>
    <sheet name="Task Lookup" sheetId="3" r:id="rId2"/>
    <sheet name="Setup" sheetId="2" r:id="rId3"/>
  </sheets>
  <definedNames>
    <definedName name="CategoryList">Setup!$B$5:$B$10</definedName>
    <definedName name="EmployeeList">Setup!$C$5:$C$10</definedName>
    <definedName name="FlagPercent">'Project tracker'!$G$2</definedName>
    <definedName name="_xlnm.Print_Titles" localSheetId="0">'Project tracker'!$4:$4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 l="1"/>
  <c r="F5" i="1"/>
  <c r="J7" i="1"/>
  <c r="I7" i="1"/>
  <c r="J8" i="1"/>
  <c r="I8" i="1"/>
  <c r="E8" i="1"/>
  <c r="J9" i="1"/>
  <c r="F9" i="1"/>
  <c r="I9" i="1"/>
  <c r="J10" i="1"/>
  <c r="F10" i="1"/>
  <c r="I10" i="1"/>
  <c r="E10" i="1"/>
  <c r="J6" i="1"/>
  <c r="F6" i="1"/>
  <c r="I6" i="1"/>
  <c r="I5" i="1"/>
  <c r="E9" i="1"/>
  <c r="F8" i="1"/>
  <c r="F7" i="1"/>
  <c r="E7" i="1"/>
  <c r="E5" i="1"/>
  <c r="E6" i="1"/>
  <c r="H12" i="1"/>
  <c r="L12" i="1"/>
  <c r="H11" i="1"/>
  <c r="L11" i="1"/>
  <c r="H5" i="1" l="1"/>
  <c r="H10" i="1" l="1"/>
  <c r="L7" i="1"/>
  <c r="H8" i="1"/>
  <c r="H9" i="1"/>
  <c r="H6" i="1"/>
  <c r="H7" i="1"/>
  <c r="L5" i="1"/>
  <c r="L8" i="1"/>
  <c r="L6" i="1"/>
  <c r="L9" i="1"/>
  <c r="L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tc={787986D8-1FDC-469D-A088-8C0F63DA9C53}</author>
    <author>tc={AE9EA276-0B44-4276-A3F9-7772F2345B51}</author>
    <author>tc={ED8FB9F1-6DAA-4E83-86C1-DB279CE5868C}</author>
    <author>tc={556FE37B-62A8-443B-B67B-433C0E7A5AB4}</author>
    <author>tc={2BA0C9CA-C6B8-4B33-9AAD-493E02C58D14}</author>
    <author>tc={97438B52-7420-4EFC-976B-B339DA82ACC9}</author>
  </authors>
  <commentList>
    <comment ref="D5" authorId="0" shapeId="0" xr:uid="{787986D8-1FDC-469D-A088-8C0F63DA9C53}">
      <text>
        <t>[Threaded comment]
Your version of Excel allows you to read this threaded comment; however, any edits to it will get removed if the file is opened in a newer version of Excel. Learn more: https://go.microsoft.com/fwlink/?linkid=870924
Comment:
    Assigning all the planning to one student/group and all the coding to another is not a great idea because there won’t be someone with a great understanding of the plan working on and overlooking the coding process who can ensure that it accurately follows the initial plan. i.e there won’t be great communication and coordination between the coding and planning sides of the project, hence greater chance for errors, problems, and poorly structured code later on</t>
      </text>
    </comment>
    <comment ref="M5" authorId="1" shapeId="0" xr:uid="{AE9EA276-0B44-4276-A3F9-7772F2345B51}">
      <text>
        <t>[Threaded comment]
Your version of Excel allows you to read this threaded comment; however, any edits to it will get removed if the file is opened in a newer version of Excel. Learn more: https://go.microsoft.com/fwlink/?linkid=870924
Comment:
    Student 6 could add a bit of detail to the task notes, better describing the work they did. Ex which use case description did they finish, what did they add to the diagrams in order to finish them, what classes/functions are the descriptions and diagrams for, etc</t>
      </text>
    </comment>
    <comment ref="H6" authorId="2" shapeId="0" xr:uid="{ED8FB9F1-6DAA-4E83-86C1-DB279CE5868C}">
      <text>
        <t>[Threaded comment]
Your version of Excel allows you to read this threaded comment; however, any edits to it will get removed if the file is opened in a newer version of Excel. Learn more: https://go.microsoft.com/fwlink/?linkid=870924
Comment:
    The estimated duration in days and hours for tasks 2-6 suggest that they are rather large and would probably be able to be split among multiple individuals rather than just Student 5 and 6. i.e It might’ve been a good idea to split these tasks among more people if possible</t>
      </text>
    </comment>
    <comment ref="K7" authorId="3" shapeId="0" xr:uid="{556FE37B-62A8-443B-B67B-433C0E7A5AB4}">
      <text>
        <t>[Threaded comment]
Your version of Excel allows you to read this threaded comment; however, any edits to it will get removed if the file is opened in a newer version of Excel. Learn more: https://go.microsoft.com/fwlink/?linkid=870924
Comment:
    Certain tasks get finished within 1-4 hours of work but is spread out between several weeks. This is very strange, and the students who did these tasks should clarify the low work hours compared to long duration in days. If the issue is simply neglecting to record the actual days taken and simply copy/pasting the estimated duration, then it should simply be changed to reflect the actual time taken.</t>
      </text>
    </comment>
    <comment ref="B8" authorId="4" shapeId="0" xr:uid="{2BA0C9CA-C6B8-4B33-9AAD-493E02C58D14}">
      <text>
        <t>[Threaded comment]
Your version of Excel allows you to read this threaded comment; however, any edits to it will get removed if the file is opened in a newer version of Excel. Learn more: https://go.microsoft.com/fwlink/?linkid=870924
Comment:
    Student 5’s tasks don’t seem to reflect the work described on the task notes. It would be better to separate the unrelated work and list it as a separate task for better documentation, and mention the work related most to the task in the notes; or to reword the task notes to better match the task</t>
      </text>
    </comment>
    <comment ref="M9" authorId="5" shapeId="0" xr:uid="{97438B52-7420-4EFC-976B-B339DA82ACC9}">
      <text>
        <t>[Threaded comment]
Your version of Excel allows you to read this threaded comment; however, any edits to it will get removed if the file is opened in a newer version of Excel. Learn more: https://go.microsoft.com/fwlink/?linkid=870924
Comment:
    Student 5’s task notes imply that they did not finish the tasks and are actively working on them. Either change the wording, or don’t list them as completed.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tc={8E089076-CF64-4085-B660-1C306875BDD2}</author>
  </authors>
  <commentList>
    <comment ref="D1" authorId="0" shapeId="0" xr:uid="{8E089076-CF64-4085-B660-1C306875BDD2}">
      <text>
        <t>[Threaded comment]
Your version of Excel allows you to read this threaded comment; however, any edits to it will get removed if the file is opened in a newer version of Excel. Learn more: https://go.microsoft.com/fwlink/?linkid=870924
Comment:
    Task lookup page incomplete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tc={69215A04-AE1B-4A3B-ADD1-E683A6B27986}</author>
  </authors>
  <commentList>
    <comment ref="C5" authorId="0" shapeId="0" xr:uid="{69215A04-AE1B-4A3B-ADD1-E683A6B27986}">
      <text>
        <t>[Threaded comment]
Your version of Excel allows you to read this threaded comment; however, any edits to it will get removed if the file is opened in a newer version of Excel. Learn more: https://go.microsoft.com/fwlink/?linkid=870924
Comment:
    No students were named and no tasks regarding design were done. Not necessarily a bad thing but if there were no tasks related to design to begin with, it maybe shouldn’t be listed as a category here</t>
      </text>
    </comment>
  </commentList>
</comments>
</file>

<file path=xl/sharedStrings.xml><?xml version="1.0" encoding="utf-8"?>
<sst xmlns="http://schemas.openxmlformats.org/spreadsheetml/2006/main" count="60" uniqueCount="49">
  <si>
    <t>Category</t>
  </si>
  <si>
    <t>Notes</t>
  </si>
  <si>
    <t>Category 4</t>
  </si>
  <si>
    <t>Category 5</t>
  </si>
  <si>
    <t>Setup</t>
  </si>
  <si>
    <t>Category Name</t>
  </si>
  <si>
    <t>Employee Name</t>
  </si>
  <si>
    <t>Category 6</t>
  </si>
  <si>
    <t>Assigned to</t>
  </si>
  <si>
    <t>Estimated work (in hours)</t>
  </si>
  <si>
    <t>Estimated finish</t>
  </si>
  <si>
    <t>Actual start</t>
  </si>
  <si>
    <t>Actual finish</t>
  </si>
  <si>
    <t>Actual duration (in days)</t>
  </si>
  <si>
    <t>Actual work 
(in hours)</t>
  </si>
  <si>
    <t>Estimated start</t>
  </si>
  <si>
    <t>Percent over/under to highlighted numbers</t>
  </si>
  <si>
    <t>Estimated duration
(in days)</t>
  </si>
  <si>
    <t>Task</t>
  </si>
  <si>
    <t>Task 1</t>
  </si>
  <si>
    <t>Task 2</t>
  </si>
  <si>
    <t>Task 3</t>
  </si>
  <si>
    <t>Project Task Tracker</t>
  </si>
  <si>
    <t>Student 5</t>
  </si>
  <si>
    <t>Student 6</t>
  </si>
  <si>
    <t>Task Number</t>
  </si>
  <si>
    <t>Task Name</t>
  </si>
  <si>
    <t>Task Description</t>
  </si>
  <si>
    <t>class structure diagram</t>
  </si>
  <si>
    <t>planning</t>
  </si>
  <si>
    <t>coding</t>
  </si>
  <si>
    <t>scoreboard implemented for all games</t>
  </si>
  <si>
    <t xml:space="preserve">chatbox and arena </t>
  </si>
  <si>
    <t>design</t>
  </si>
  <si>
    <t>Finished use case description</t>
  </si>
  <si>
    <t>Finshed use case diagram</t>
  </si>
  <si>
    <t>Finished class structure diagram</t>
  </si>
  <si>
    <t>Finished a sample of the login page</t>
  </si>
  <si>
    <t>Working on logo creation for the game</t>
  </si>
  <si>
    <t>Working on linking login page together and testing</t>
  </si>
  <si>
    <t>student 1</t>
  </si>
  <si>
    <t>student 2</t>
  </si>
  <si>
    <t>student 3</t>
  </si>
  <si>
    <t>student 4</t>
  </si>
  <si>
    <t>student 5</t>
  </si>
  <si>
    <t>usecase diagram &amp; description</t>
  </si>
  <si>
    <t>gui screen containing login, reg, home page</t>
  </si>
  <si>
    <t>GUI character and board designs</t>
  </si>
  <si>
    <t>making logo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</si>
</sst>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Over/Under flag&quot;;&quot;&quot;;&quot;&quot;"/>
    <numFmt numFmtId="165" formatCode="m/d/yyyy"/>
  </numFmts>
  <fonts count="22" x14ac:knownFonts="1">
    <font>
      <sz val="11"/>
      <color theme="3" tint="-0.499984740745262"/>
      <name val="Verdana"/>
      <family val="2"/>
      <scheme val="minor"/>
    </font>
    <font>
      <b/>
      <sz val="11"/>
      <color rgb="FF3F3F3F"/>
      <name val="Verdana"/>
      <family val="2"/>
      <scheme val="minor"/>
    </font>
    <font>
      <sz val="8"/>
      <color theme="3"/>
      <name val="Verdana"/>
      <family val="2"/>
      <scheme val="minor"/>
    </font>
    <font>
      <sz val="24"/>
      <color theme="3"/>
      <name val="Verdana"/>
      <family val="2"/>
      <scheme val="minor"/>
    </font>
    <font>
      <sz val="24"/>
      <color theme="3"/>
      <name val="Verdana"/>
      <family val="2"/>
      <scheme val="major"/>
    </font>
    <font>
      <b/>
      <sz val="12"/>
      <color theme="9" tint="-0.499984740745262"/>
      <name val="Verdana"/>
      <family val="2"/>
      <scheme val="minor"/>
    </font>
    <font>
      <b/>
      <sz val="11"/>
      <color theme="2" tint="-0.89996032593768116"/>
      <name val="Verdana"/>
      <family val="2"/>
      <scheme val="minor"/>
    </font>
    <font>
      <sz val="11"/>
      <color theme="2" tint="-0.89992980742820516"/>
      <name val="Verdana"/>
      <family val="2"/>
      <scheme val="minor"/>
    </font>
    <font>
      <sz val="11"/>
      <color theme="2" tint="-0.89989928891872917"/>
      <name val="Verdana"/>
      <family val="2"/>
      <scheme val="minor"/>
    </font>
    <font>
      <sz val="11"/>
      <color theme="0"/>
      <name val="Verdana"/>
      <family val="2"/>
      <scheme val="minor"/>
    </font>
    <font>
      <b/>
      <sz val="11"/>
      <color theme="9"/>
      <name val="Verdana"/>
      <family val="2"/>
      <scheme val="minor"/>
    </font>
    <font>
      <sz val="11"/>
      <color theme="3" tint="-0.499984740745262"/>
      <name val="Verdana"/>
      <family val="2"/>
    </font>
    <font>
      <sz val="12"/>
      <color theme="3" tint="-0.499984740745262"/>
      <name val="Verdana"/>
      <family val="2"/>
    </font>
    <font>
      <sz val="12"/>
      <color theme="3" tint="-0.499984740745262"/>
      <name val="Verdana"/>
      <family val="2"/>
      <scheme val="minor"/>
    </font>
    <font>
      <sz val="12"/>
      <color theme="9"/>
      <name val="Verdana"/>
      <family val="2"/>
      <scheme val="minor"/>
    </font>
    <font>
      <sz val="12"/>
      <color theme="9" tint="-0.499984740745262"/>
      <name val="Verdana"/>
      <family val="2"/>
      <scheme val="minor"/>
    </font>
    <font>
      <b/>
      <sz val="28"/>
      <color theme="9" tint="-0.499984740745262"/>
      <name val="Verdana"/>
      <family val="2"/>
      <scheme val="minor"/>
    </font>
    <font>
      <sz val="48"/>
      <color theme="9" tint="-0.499984740745262"/>
      <name val="Verdana"/>
      <family val="2"/>
      <scheme val="major"/>
    </font>
    <font>
      <sz val="11"/>
      <color theme="9" tint="-0.499984740745262"/>
      <name val="Verdana"/>
      <family val="2"/>
      <scheme val="minor"/>
    </font>
    <font>
      <sz val="11"/>
      <name val="Verdana"/>
      <family val="2"/>
      <scheme val="minor"/>
    </font>
    <font>
      <sz val="12"/>
      <color theme="1"/>
      <name val="Verdana"/>
      <family val="2"/>
    </font>
    <font>
      <sz val="48"/>
      <color theme="9" tint="-0.499984740745262"/>
      <name val="Calibri"/>
      <family val="2"/>
    </font>
  </fonts>
  <fills count="8">
    <fill>
      <patternFill patternType="none"/>
    </fill>
    <fill>
      <patternFill patternType="gray125"/>
    </fill>
    <fill>
      <patternFill patternType="solid">
        <fgColor theme="2"/>
        <bgColor indexed="64"/>
      </patternFill>
    </fill>
    <fill>
      <patternFill patternType="solid">
        <fgColor rgb="FFFFFFCC"/>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8">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theme="9"/>
      </left>
      <right style="thin">
        <color theme="9"/>
      </right>
      <top style="thin">
        <color theme="9"/>
      </top>
      <bottom style="thin">
        <color theme="9"/>
      </bottom>
      <diagonal/>
    </border>
    <border>
      <left style="thin">
        <color auto="1"/>
      </left>
      <right/>
      <top/>
      <bottom/>
      <diagonal/>
    </border>
    <border>
      <left style="thick">
        <color theme="0"/>
      </left>
      <right/>
      <top/>
      <bottom/>
      <diagonal/>
    </border>
    <border>
      <left/>
      <right style="thick">
        <color theme="0"/>
      </right>
      <top/>
      <bottom/>
      <diagonal/>
    </border>
    <border>
      <left/>
      <right/>
      <top style="thin">
        <color theme="6" tint="0.39994506668294322"/>
      </top>
      <bottom/>
      <diagonal/>
    </border>
  </borders>
  <cellStyleXfs count="16">
    <xf numFmtId="0" fontId="0" fillId="0" borderId="0">
      <alignment vertical="center"/>
    </xf>
    <xf numFmtId="0" fontId="3" fillId="0" borderId="0" applyNumberFormat="0" applyFill="0" applyBorder="0" applyProtection="0">
      <alignment horizontal="left" vertical="center" indent="1"/>
    </xf>
    <xf numFmtId="9" fontId="5" fillId="0" borderId="3" applyProtection="0">
      <alignment horizontal="center" vertical="center"/>
    </xf>
    <xf numFmtId="0" fontId="1" fillId="2" borderId="1" applyNumberFormat="0" applyFont="0" applyBorder="0" applyProtection="0">
      <alignment horizontal="right" vertical="center" indent="2"/>
    </xf>
    <xf numFmtId="3" fontId="8" fillId="0" borderId="0" applyFill="0" applyBorder="0" applyProtection="0">
      <alignment horizontal="right" vertical="center" indent="3"/>
    </xf>
    <xf numFmtId="0" fontId="8" fillId="0" borderId="0" applyFill="0" applyBorder="0" applyProtection="0">
      <alignment horizontal="left" vertical="center" wrapText="1" indent="1"/>
    </xf>
    <xf numFmtId="0" fontId="6" fillId="0" borderId="0" applyNumberFormat="0" applyBorder="0" applyProtection="0">
      <alignment horizontal="left" vertical="center" wrapText="1" indent="1"/>
    </xf>
    <xf numFmtId="0" fontId="2" fillId="3" borderId="2" applyNumberFormat="0" applyFont="0" applyAlignment="0" applyProtection="0"/>
    <xf numFmtId="14" fontId="7" fillId="0" borderId="0" applyFill="0" applyBorder="0" applyProtection="0">
      <alignment horizontal="right" vertical="center" indent="3"/>
    </xf>
    <xf numFmtId="0" fontId="4" fillId="0" borderId="0" applyNumberFormat="0" applyFill="0" applyBorder="0" applyAlignment="0" applyProtection="0"/>
    <xf numFmtId="164" fontId="10" fillId="0" borderId="0" applyFill="0" applyProtection="0">
      <alignment horizontal="left" vertical="center" indent="1"/>
    </xf>
    <xf numFmtId="0" fontId="6" fillId="0" borderId="5" applyNumberFormat="0" applyFill="0" applyProtection="0">
      <alignment horizontal="left" vertical="center" wrapText="1" indent="2"/>
    </xf>
    <xf numFmtId="164" fontId="9" fillId="0" borderId="4">
      <alignment horizontal="right" vertical="center"/>
    </xf>
    <xf numFmtId="14" fontId="7" fillId="0" borderId="5">
      <alignment horizontal="right" vertical="center" indent="3"/>
    </xf>
    <xf numFmtId="3" fontId="8" fillId="2" borderId="0" applyBorder="0">
      <alignment horizontal="right" vertical="center" indent="3"/>
    </xf>
    <xf numFmtId="3" fontId="8" fillId="2" borderId="6">
      <alignment horizontal="right" vertical="center" indent="3"/>
    </xf>
  </cellStyleXfs>
  <cellXfs count="30">
    <xf numFmtId="0" fontId="0" fillId="0" borderId="0" xfId="0">
      <alignment vertical="center"/>
    </xf>
    <xf numFmtId="0" fontId="11" fillId="0" borderId="0" xfId="0" applyFont="1">
      <alignment vertical="center"/>
    </xf>
    <xf numFmtId="0" fontId="12" fillId="0" borderId="0" xfId="0" applyFont="1">
      <alignment vertical="center"/>
    </xf>
    <xf numFmtId="0" fontId="13" fillId="4" borderId="0" xfId="0" applyFont="1" applyFill="1">
      <alignment vertical="center"/>
    </xf>
    <xf numFmtId="14" fontId="13" fillId="4" borderId="0" xfId="8" applyFont="1" applyFill="1" applyAlignment="1">
      <alignment vertical="center"/>
    </xf>
    <xf numFmtId="0" fontId="13" fillId="0" borderId="0" xfId="0" applyFont="1">
      <alignment vertical="center"/>
    </xf>
    <xf numFmtId="0" fontId="14" fillId="4" borderId="0" xfId="0" applyFont="1" applyFill="1">
      <alignment vertical="center"/>
    </xf>
    <xf numFmtId="14" fontId="14" fillId="4" borderId="0" xfId="8" applyFont="1" applyFill="1" applyAlignment="1">
      <alignment vertical="center"/>
    </xf>
    <xf numFmtId="14" fontId="15" fillId="4" borderId="0" xfId="8" applyFont="1" applyFill="1" applyAlignment="1">
      <alignment horizontal="right" vertical="center" wrapText="1"/>
    </xf>
    <xf numFmtId="9" fontId="16" fillId="4" borderId="0" xfId="0" applyNumberFormat="1" applyFont="1" applyFill="1" applyAlignment="1">
      <alignment horizontal="left" vertical="center" indent="2"/>
    </xf>
    <xf numFmtId="14" fontId="13" fillId="4" borderId="0" xfId="8" applyFont="1" applyFill="1" applyBorder="1" applyAlignment="1">
      <alignment vertical="center"/>
    </xf>
    <xf numFmtId="0" fontId="13" fillId="7" borderId="7" xfId="0" applyFont="1" applyFill="1" applyBorder="1">
      <alignment vertical="center"/>
    </xf>
    <xf numFmtId="0" fontId="0" fillId="5" borderId="0" xfId="0" applyFill="1">
      <alignment vertical="center"/>
    </xf>
    <xf numFmtId="0" fontId="18" fillId="5" borderId="0" xfId="0" applyFont="1" applyFill="1">
      <alignment vertical="center"/>
    </xf>
    <xf numFmtId="0" fontId="0" fillId="6" borderId="0" xfId="0" applyFill="1">
      <alignment vertical="center"/>
    </xf>
    <xf numFmtId="0" fontId="18" fillId="6" borderId="0" xfId="0" applyFont="1" applyFill="1">
      <alignment vertical="center"/>
    </xf>
    <xf numFmtId="0" fontId="17" fillId="5" borderId="0" xfId="9" applyFont="1" applyFill="1" applyAlignment="1">
      <alignment vertical="center"/>
    </xf>
    <xf numFmtId="0" fontId="12" fillId="0" borderId="0" xfId="0" applyFont="1" applyAlignment="1">
      <alignment horizontal="left" vertical="center" wrapText="1" indent="2"/>
    </xf>
    <xf numFmtId="0" fontId="12" fillId="0" borderId="0" xfId="0" applyFont="1" applyAlignment="1">
      <alignment horizontal="left" vertical="center" indent="2"/>
    </xf>
    <xf numFmtId="0" fontId="13" fillId="4" borderId="0" xfId="0" applyFont="1" applyFill="1" applyAlignment="1">
      <alignment horizontal="left" vertical="center" indent="2"/>
    </xf>
    <xf numFmtId="14" fontId="13" fillId="4" borderId="0" xfId="8" applyFont="1" applyFill="1" applyAlignment="1">
      <alignment horizontal="left" vertical="center" indent="2"/>
    </xf>
    <xf numFmtId="0" fontId="12" fillId="7" borderId="0" xfId="0" applyFont="1" applyFill="1" applyAlignment="1">
      <alignment horizontal="left" vertical="center" indent="2"/>
    </xf>
    <xf numFmtId="0" fontId="0" fillId="0" borderId="0" xfId="0" applyAlignment="1">
      <alignment horizontal="left" vertical="center" indent="1"/>
    </xf>
    <xf numFmtId="0" fontId="19" fillId="5" borderId="0" xfId="0" applyFont="1" applyFill="1" applyAlignment="1">
      <alignment horizontal="left" vertical="center" indent="1"/>
    </xf>
    <xf numFmtId="14" fontId="20" fillId="0" borderId="0" xfId="0" applyNumberFormat="1" applyFont="1" applyAlignment="1">
      <alignment horizontal="left" vertical="center" wrapText="1" indent="2"/>
    </xf>
    <xf numFmtId="14" fontId="20" fillId="0" borderId="0" xfId="0" applyNumberFormat="1" applyFont="1" applyAlignment="1">
      <alignment horizontal="left" vertical="center" indent="2"/>
    </xf>
    <xf numFmtId="0" fontId="21" fillId="4" borderId="0" xfId="9" applyFont="1" applyFill="1" applyAlignment="1">
      <alignment vertical="center"/>
    </xf>
    <xf numFmtId="0" fontId="19" fillId="0" borderId="0" xfId="0" applyFont="1">
      <alignment vertical="center"/>
    </xf>
    <xf numFmtId="0" fontId="12" fillId="4" borderId="0" xfId="0" applyFont="1" applyFill="1" applyAlignment="1">
      <alignment horizontal="left" vertical="center" indent="2"/>
    </xf>
    <xf numFmtId="165" fontId="20" fillId="4" borderId="0" xfId="8" applyNumberFormat="1" applyFont="1" applyFill="1" applyAlignment="1">
      <alignment horizontal="left" vertical="center" indent="2"/>
    </xf>
  </cellXfs>
  <cellStyles count="16">
    <cellStyle name="Actual Start" xfId="13" xr:uid="{00000000-0005-0000-0000-000000000000}"/>
    <cellStyle name="Date" xfId="8" xr:uid="{00000000-0005-0000-0000-000001000000}"/>
    <cellStyle name="Estimated duration" xfId="15" xr:uid="{00000000-0005-0000-0000-000002000000}"/>
    <cellStyle name="Flag" xfId="12" xr:uid="{00000000-0005-0000-0000-000003000000}"/>
    <cellStyle name="Grey Column" xfId="14" xr:uid="{00000000-0005-0000-0000-000004000000}"/>
    <cellStyle name="Heading 1" xfId="1" builtinId="16" customBuiltin="1"/>
    <cellStyle name="Heading 2" xfId="6" builtinId="17" customBuiltin="1"/>
    <cellStyle name="Heading 3" xfId="10" builtinId="18" customBuiltin="1"/>
    <cellStyle name="Heading 4" xfId="11" builtinId="19" customBuiltin="1"/>
    <cellStyle name="Input" xfId="2" builtinId="20" customBuiltin="1"/>
    <cellStyle name="Normal" xfId="0" builtinId="0" customBuiltin="1"/>
    <cellStyle name="Note" xfId="7" builtinId="10" customBuiltin="1"/>
    <cellStyle name="Numbers" xfId="4" xr:uid="{00000000-0005-0000-0000-00000C000000}"/>
    <cellStyle name="Output" xfId="3" builtinId="21" customBuiltin="1"/>
    <cellStyle name="Text" xfId="5" xr:uid="{00000000-0005-0000-0000-00000E000000}"/>
    <cellStyle name="Title" xfId="9" builtinId="15" customBuiltin="1"/>
  </cellStyles>
  <dxfs count="27">
    <dxf>
      <font>
        <b/>
        <i val="0"/>
      </font>
    </dxf>
    <dxf>
      <font>
        <b/>
        <i val="0"/>
        <color auto="1"/>
      </font>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fill>
        <patternFill patternType="solid">
          <fgColor indexed="64"/>
          <bgColor theme="6" tint="0.59999389629810485"/>
        </patternFill>
      </fill>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5" formatCode="m/d/yyyy"/>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5" formatCode="m/d/yyyy"/>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fill>
        <patternFill patternType="solid">
          <fgColor indexed="64"/>
          <bgColor theme="6" tint="0.59999389629810485"/>
        </patternFill>
      </fill>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5" formatCode="m/d/yyyy"/>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5" formatCode="m/d/yyyy"/>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wrapText="1" indent="2" justifyLastLine="0" shrinkToFit="0" readingOrder="0"/>
    </dxf>
    <dxf>
      <fill>
        <patternFill>
          <bgColor theme="5" tint="0.59996337778862885"/>
        </patternFill>
      </fill>
    </dxf>
    <dxf>
      <fill>
        <patternFill>
          <bgColor theme="5" tint="0.79998168889431442"/>
        </patternFill>
      </fill>
    </dxf>
    <dxf>
      <fill>
        <patternFill>
          <bgColor theme="6" tint="0.39994506668294322"/>
        </patternFill>
      </fill>
    </dxf>
    <dxf>
      <font>
        <b/>
        <i val="0"/>
        <color theme="2" tint="-0.89996032593768116"/>
      </font>
      <fill>
        <patternFill>
          <bgColor theme="7" tint="0.39994506668294322"/>
        </patternFill>
      </fill>
      <border>
        <top style="thin">
          <color theme="7" tint="0.39994506668294322"/>
        </top>
      </border>
    </dxf>
    <dxf>
      <font>
        <b val="0"/>
        <i val="0"/>
        <color theme="9" tint="-0.499984740745262"/>
      </font>
      <fill>
        <patternFill>
          <bgColor theme="7" tint="0.79998168889431442"/>
        </patternFill>
      </fill>
      <border>
        <top style="thin">
          <color auto="1"/>
        </top>
        <bottom style="thin">
          <color auto="1"/>
        </bottom>
        <horizontal style="thin">
          <color auto="1"/>
        </horizontal>
      </border>
    </dxf>
    <dxf>
      <font>
        <b/>
        <i val="0"/>
        <color theme="2" tint="-0.89996032593768116"/>
      </font>
      <fill>
        <patternFill>
          <bgColor theme="6" tint="0.59996337778862885"/>
        </patternFill>
      </fill>
      <border>
        <top style="thin">
          <color theme="6" tint="0.39994506668294322"/>
        </top>
        <bottom/>
      </border>
    </dxf>
    <dxf>
      <font>
        <b val="0"/>
        <i val="0"/>
        <color theme="9" tint="-0.499984740745262"/>
      </font>
      <fill>
        <patternFill>
          <bgColor theme="6" tint="0.79998168889431442"/>
        </patternFill>
      </fill>
      <border>
        <top style="thin">
          <color auto="1"/>
        </top>
        <bottom style="thin">
          <color auto="1"/>
        </bottom>
        <horizontal style="thin">
          <color auto="1"/>
        </horizontal>
      </border>
    </dxf>
  </dxfs>
  <tableStyles count="3" defaultTableStyle="TableStyleMedium2" defaultPivotStyle="PivotStyleLight16">
    <tableStyle name="Custom Table Style" pivot="0" count="2" xr9:uid="{00000000-0011-0000-FFFF-FFFF00000000}">
      <tableStyleElement type="wholeTable" dxfId="26"/>
      <tableStyleElement type="headerRow" dxfId="25"/>
    </tableStyle>
    <tableStyle name="Custom Table Style 2" pivot="0" count="2" xr9:uid="{FFDA21C0-6F5D-4BB1-A228-A4BC4D9DA682}">
      <tableStyleElement type="wholeTable" dxfId="24"/>
      <tableStyleElement type="headerRow" dxfId="23"/>
    </tableStyle>
    <tableStyle name="Table Style 1" pivot="0" count="3" xr9:uid="{5F9F0DBC-1B06-494D-8D4F-D10423CEAFF4}">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Dark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hyperlink" Target="#Setup!A1"/></Relationships>
</file>

<file path=xl/drawings/_rels/drawing2.xml.rels><?xml version="1.0" encoding="UTF-8" standalone="yes"?>
<Relationships xmlns="http://schemas.openxmlformats.org/package/2006/relationships"><Relationship Id="rId1" Type="http://schemas.openxmlformats.org/officeDocument/2006/relationships/hyperlink" Target="#'Project Tracker'!A1"/></Relationships>
</file>

<file path=xl/drawings/drawing1.xml><?xml version="1.0" encoding="utf-8"?>
<xdr:wsDr xmlns:xdr="http://schemas.openxmlformats.org/drawingml/2006/spreadsheetDrawing" xmlns:a="http://schemas.openxmlformats.org/drawingml/2006/main">
  <xdr:twoCellAnchor editAs="oneCell">
    <xdr:from>
      <xdr:col>12</xdr:col>
      <xdr:colOff>952966</xdr:colOff>
      <xdr:row>1</xdr:row>
      <xdr:rowOff>323851</xdr:rowOff>
    </xdr:from>
    <xdr:to>
      <xdr:col>13</xdr:col>
      <xdr:colOff>466</xdr:colOff>
      <xdr:row>1</xdr:row>
      <xdr:rowOff>598171</xdr:rowOff>
    </xdr:to>
    <xdr:sp macro="" textlink="">
      <xdr:nvSpPr>
        <xdr:cNvPr id="3" name="Setup Button" descr="Setup navigation button. Click to view the Setup worksheet." title="Navigation Button - Setup">
          <a:hlinkClick xmlns:r="http://schemas.openxmlformats.org/officeDocument/2006/relationships" r:id="rId1" tooltip="Click to view Setup"/>
          <a:extLst>
            <a:ext uri="{FF2B5EF4-FFF2-40B4-BE49-F238E27FC236}">
              <a16:creationId xmlns:a16="http://schemas.microsoft.com/office/drawing/2014/main" id="{00000000-0008-0000-0000-000003000000}"/>
            </a:ext>
          </a:extLst>
        </xdr:cNvPr>
        <xdr:cNvSpPr txBox="1">
          <a:spLocks noChangeAspect="1"/>
        </xdr:cNvSpPr>
      </xdr:nvSpPr>
      <xdr:spPr>
        <a:xfrm>
          <a:off x="20282366" y="704851"/>
          <a:ext cx="914400" cy="274320"/>
        </a:xfrm>
        <a:prstGeom prst="rect">
          <a:avLst/>
        </a:prstGeom>
        <a:solidFill>
          <a:schemeClr val="accent6">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solidFill>
                <a:schemeClr val="bg1"/>
              </a:solidFill>
            </a:rPr>
            <a:t>SETUP</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2</xdr:col>
      <xdr:colOff>825500</xdr:colOff>
      <xdr:row>1</xdr:row>
      <xdr:rowOff>311151</xdr:rowOff>
    </xdr:from>
    <xdr:to>
      <xdr:col>3</xdr:col>
      <xdr:colOff>175260</xdr:colOff>
      <xdr:row>1</xdr:row>
      <xdr:rowOff>584200</xdr:rowOff>
    </xdr:to>
    <xdr:sp macro="" textlink="">
      <xdr:nvSpPr>
        <xdr:cNvPr id="3" name="Projects Button" descr="Projects navigation button. Click to view the Projects worksheet." title="Navigation Button - Projects">
          <a:hlinkClick xmlns:r="http://schemas.openxmlformats.org/officeDocument/2006/relationships" r:id="rId1" tooltip="Click to view Projects"/>
          <a:extLst>
            <a:ext uri="{FF2B5EF4-FFF2-40B4-BE49-F238E27FC236}">
              <a16:creationId xmlns:a16="http://schemas.microsoft.com/office/drawing/2014/main" id="{00000000-0008-0000-0100-000003000000}"/>
            </a:ext>
          </a:extLst>
        </xdr:cNvPr>
        <xdr:cNvSpPr txBox="1">
          <a:spLocks noChangeAspect="1"/>
        </xdr:cNvSpPr>
      </xdr:nvSpPr>
      <xdr:spPr>
        <a:xfrm>
          <a:off x="2936240" y="692151"/>
          <a:ext cx="896620" cy="273049"/>
        </a:xfrm>
        <a:prstGeom prst="rect">
          <a:avLst/>
        </a:prstGeom>
        <a:solidFill>
          <a:schemeClr val="accent6">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t>PROJECTS</a:t>
          </a:r>
        </a:p>
      </xdr:txBody>
    </xdr:sp>
    <xdr:clientData fPrintsWithSheet="0"/>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Tracker" displayName="ProjectTracker" ref="B4:M12" totalsRowShown="0" headerRowDxfId="19" dataDxfId="18">
  <autoFilter ref="B4:M12"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000-000001000000}" name="Task" dataDxfId="17"/>
    <tableColumn id="2" xr3:uid="{00000000-0010-0000-0000-000002000000}" name="Category" dataDxfId="16"/>
    <tableColumn id="3" xr3:uid="{00000000-0010-0000-0000-000003000000}" name="Assigned to" dataDxfId="15"/>
    <tableColumn id="4" xr3:uid="{00000000-0010-0000-0000-000004000000}" name="Estimated start" dataDxfId="14"/>
    <tableColumn id="5" xr3:uid="{00000000-0010-0000-0000-000005000000}" name="Estimated finish" dataDxfId="13"/>
    <tableColumn id="6" xr3:uid="{00000000-0010-0000-0000-000006000000}" name="Estimated work (in hours)" dataDxfId="12"/>
    <tableColumn id="7" xr3:uid="{00000000-0010-0000-0000-000007000000}" name="Estimated duration_x000a_(in days)" dataDxfId="11">
      <calculatedColumnFormula>IF(COUNTA('Project tracker'!$E5,'Project tracker'!$F5)&lt;&gt;2,"",DAYS360('Project tracker'!$E5,'Project tracker'!$F5,FALSE))</calculatedColumnFormula>
    </tableColumn>
    <tableColumn id="8" xr3:uid="{00000000-0010-0000-0000-000008000000}" name="Actual start" dataDxfId="10"/>
    <tableColumn id="9" xr3:uid="{00000000-0010-0000-0000-000009000000}" name="Actual finish" dataDxfId="9"/>
    <tableColumn id="10" xr3:uid="{00000000-0010-0000-0000-00000A000000}" name="Actual work _x000a_(in hours)" dataDxfId="8"/>
    <tableColumn id="11" xr3:uid="{00000000-0010-0000-0000-00000B000000}" name="Actual duration (in days)" dataDxfId="7">
      <calculatedColumnFormula>IF(COUNTA('Project tracker'!$I5,'Project tracker'!$J5)&lt;&gt;2,"",DAYS360('Project tracker'!$I5,'Project tracker'!$J5,FALSE))</calculatedColumnFormula>
    </tableColumn>
    <tableColumn id="12" xr3:uid="{00000000-0010-0000-0000-00000C000000}" name="Notes" dataDxfId="6"/>
  </tableColumns>
  <tableStyleInfo name="Custom Table Style"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ategoryAndEmployeeTable" displayName="CategoryAndEmployeeTable" ref="B4:C10" totalsRowShown="0" headerRowDxfId="5" dataDxfId="4">
  <autoFilter ref="B4:C10" xr:uid="{00000000-0009-0000-0100-000003000000}">
    <filterColumn colId="0" hiddenButton="1"/>
    <filterColumn colId="1" hiddenButton="1"/>
  </autoFilter>
  <tableColumns count="2">
    <tableColumn id="1" xr3:uid="{00000000-0010-0000-0100-000001000000}" name="Category Name" dataDxfId="3"/>
    <tableColumn id="2" xr3:uid="{00000000-0010-0000-0100-000002000000}" name="Employee Name" dataDxfId="2"/>
  </tableColumns>
  <tableStyleInfo name="Custom Table Style 2" showFirstColumn="0" showLastColumn="0" showRowStripes="1" showColumnStripes="0"/>
  <extLst>
    <ext xmlns:x14="http://schemas.microsoft.com/office/spreadsheetml/2009/9/main" uri="{504A1905-F514-4f6f-8877-14C23A59335A}">
      <x14:table altTextSummary="List of categories and employees used in the Category and Employee data validation drop down selection list on the Project Tracker worksheet. Use these columns to customize the items in each list. the lists do not need the same number of items"/>
    </ext>
  </extLst>
</table>
</file>

<file path=xl/theme/theme1.xml><?xml version="1.0" encoding="utf-8"?>
<a:theme xmlns:a="http://schemas.openxmlformats.org/drawingml/2006/main" name="Office Theme">
  <a:themeElements>
    <a:clrScheme name="TM02930041-v2">
      <a:dk1>
        <a:srgbClr val="000000"/>
      </a:dk1>
      <a:lt1>
        <a:srgbClr val="FFFFFF"/>
      </a:lt1>
      <a:dk2>
        <a:srgbClr val="F5E188"/>
      </a:dk2>
      <a:lt2>
        <a:srgbClr val="E7E6E6"/>
      </a:lt2>
      <a:accent1>
        <a:srgbClr val="F6C698"/>
      </a:accent1>
      <a:accent2>
        <a:srgbClr val="F4A39F"/>
      </a:accent2>
      <a:accent3>
        <a:srgbClr val="BF84E3"/>
      </a:accent3>
      <a:accent4>
        <a:srgbClr val="8DB3DC"/>
      </a:accent4>
      <a:accent5>
        <a:srgbClr val="6879DA"/>
      </a:accent5>
      <a:accent6>
        <a:srgbClr val="4D4957"/>
      </a:accent6>
      <a:hlink>
        <a:srgbClr val="0563C1"/>
      </a:hlink>
      <a:folHlink>
        <a:srgbClr val="954F72"/>
      </a:folHlink>
    </a:clrScheme>
    <a:fontScheme name="Custom 51">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4-11-12T23:50:26.37" personId="{00000000-0000-0000-0000-000000000000}" id="{787986D8-1FDC-469D-A088-8C0F63DA9C53}">
    <text>Assigning all the planning to one student/group and all the coding to another is not a great idea because there won’t be someone with a great understanding of the plan working on and overlooking the coding process who can ensure that it accurately follows the initial plan. i.e there won’t be great communication and coordination between the coding and planning sides of the project, hence greater chance for errors, problems, and poorly structured code later on</text>
  </threadedComment>
  <threadedComment ref="M5" dT="2024-11-13T04:01:32.97" personId="{00000000-0000-0000-0000-000000000000}" id="{AE9EA276-0B44-4276-A3F9-7772F2345B51}">
    <text>Student 6 could add a bit of detail to the task notes, better describing the work they did. Ex which use case description did they finish, what did they add to the diagrams in order to finish them, what classes/functions are the descriptions and diagrams for, etc</text>
  </threadedComment>
  <threadedComment ref="H6" dT="2024-11-13T01:47:36.32" personId="{00000000-0000-0000-0000-000000000000}" id="{ED8FB9F1-6DAA-4E83-86C1-DB279CE5868C}">
    <text>The estimated duration in days and hours for tasks 2-6 suggest that they are rather large and would probably be able to be split among multiple individuals rather than just Student 5 and 6. i.e It might’ve been a good idea to split these tasks among more people if possible</text>
  </threadedComment>
  <threadedComment ref="K7" dT="2024-11-12T23:58:51.82" personId="{00000000-0000-0000-0000-000000000000}" id="{556FE37B-62A8-443B-B67B-433C0E7A5AB4}">
    <text>Certain tasks get finished within 1-4 hours of work but is spread out between several weeks. This is very strange, and the students who did these tasks should clarify the low work hours compared to long duration in days. If the issue is simply neglecting to record the actual days taken and simply copy/pasting the estimated duration, then it should simply be changed to reflect the actual time taken.</text>
  </threadedComment>
  <threadedComment ref="B8" dT="2024-11-14T03:11:18.47" personId="{00000000-0000-0000-0000-000000000000}" id="{2BA0C9CA-C6B8-4B33-9AAD-493E02C58D14}">
    <text>Student 5’s tasks don’t seem to reflect the work described on the task notes. It would be better to separate the unrelated work and list it as a separate task for better documentation, and mention the work related most to the task in the notes; or to reword the task notes to better match the task</text>
  </threadedComment>
  <threadedComment ref="M9" dT="2024-11-13T04:03:22.75" personId="{00000000-0000-0000-0000-000000000000}" id="{97438B52-7420-4EFC-976B-B339DA82ACC9}">
    <text>Student 5’s task notes imply that they did not finish the tasks and are actively working on them. Either change the wording, or don’t list them as completed.</text>
  </threadedComment>
</ThreadedComments>
</file>

<file path=xl/threadedComments/threadedComment2.xml><?xml version="1.0" encoding="utf-8"?>
<ThreadedComments xmlns="http://schemas.microsoft.com/office/spreadsheetml/2018/threadedcomments" xmlns:x="http://schemas.openxmlformats.org/spreadsheetml/2006/main">
  <threadedComment ref="D1" dT="2024-11-14T04:22:12.21" personId="{00000000-0000-0000-0000-000000000000}" id="{8E089076-CF64-4085-B660-1C306875BDD2}">
    <text>Task lookup page incomplete</text>
  </threadedComment>
</ThreadedComments>
</file>

<file path=xl/threadedComments/threadedComment3.xml><?xml version="1.0" encoding="utf-8"?>
<ThreadedComments xmlns="http://schemas.microsoft.com/office/spreadsheetml/2018/threadedcomments" xmlns:x="http://schemas.openxmlformats.org/spreadsheetml/2006/main">
  <threadedComment ref="C5" dT="2024-11-14T04:20:54.84" personId="{00000000-0000-0000-0000-000000000000}" id="{69215A04-AE1B-4A3B-ADD1-E683A6B27986}">
    <text>No students were named and no tasks regarding design were done. Not necessarily a bad thing but if there were no tasks related to design to begin with, it maybe shouldn’t be listed as a category here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pageSetUpPr autoPageBreaks="0" fitToPage="1"/>
  </sheetPr>
  <dimension ref="A1:N12"/>
  <sheetViews>
    <sheetView showGridLines="0" tabSelected="1" zoomScale="60" zoomScaleNormal="60" workbookViewId="0">
      <selection activeCell="M9" sqref="M9"/>
    </sheetView>
  </sheetViews>
  <sheetFormatPr defaultColWidth="9.08984375" defaultRowHeight="30" customHeight="1" x14ac:dyDescent="0.25"/>
  <cols>
    <col min="1" max="1" width="6.7265625" style="3" customWidth="1"/>
    <col min="2" max="4" width="18.7265625" style="19" customWidth="1"/>
    <col min="5" max="6" width="18.7265625" style="20" customWidth="1"/>
    <col min="7" max="8" width="18.7265625" style="19" customWidth="1"/>
    <col min="9" max="10" width="16.81640625" style="20" customWidth="1"/>
    <col min="11" max="12" width="16" style="19" customWidth="1"/>
    <col min="13" max="13" width="20.36328125" style="19" customWidth="1"/>
    <col min="14" max="14" width="6.7265625" style="3" customWidth="1"/>
    <col min="15" max="15" width="4.1796875" style="2" customWidth="1"/>
    <col min="16" max="40" width="3.26953125" style="2" customWidth="1"/>
    <col min="41" max="16384" width="9.08984375" style="2"/>
  </cols>
  <sheetData>
    <row r="1" spans="1:14" s="5" customFormat="1" ht="30" customHeight="1" x14ac:dyDescent="0.25">
      <c r="A1" s="3"/>
      <c r="B1" s="3"/>
      <c r="C1" s="3"/>
      <c r="D1" s="3"/>
      <c r="E1" s="4"/>
      <c r="F1" s="4"/>
      <c r="G1" s="3"/>
      <c r="H1" s="3"/>
      <c r="I1" s="4"/>
      <c r="J1" s="4"/>
      <c r="K1" s="3"/>
      <c r="L1" s="3"/>
      <c r="M1" s="3"/>
      <c r="N1" s="3"/>
    </row>
    <row r="2" spans="1:14" s="5" customFormat="1" ht="80.099999999999994" customHeight="1" x14ac:dyDescent="0.25">
      <c r="A2" s="3"/>
      <c r="B2" s="26" t="s">
        <v>22</v>
      </c>
      <c r="C2" s="6"/>
      <c r="D2" s="6"/>
      <c r="E2" s="7"/>
      <c r="F2" s="8" t="s">
        <v>16</v>
      </c>
      <c r="G2" s="9">
        <v>0.25</v>
      </c>
      <c r="H2" s="3"/>
      <c r="I2" s="4"/>
      <c r="J2" s="4"/>
      <c r="K2" s="3"/>
      <c r="L2" s="3"/>
      <c r="M2" s="3"/>
      <c r="N2" s="3"/>
    </row>
    <row r="3" spans="1:14" s="5" customFormat="1" ht="30" customHeight="1" x14ac:dyDescent="0.25">
      <c r="A3" s="3"/>
      <c r="B3" s="3"/>
      <c r="C3" s="3"/>
      <c r="D3" s="3"/>
      <c r="E3" s="10"/>
      <c r="F3" s="10"/>
      <c r="G3" s="3"/>
      <c r="H3" s="3"/>
      <c r="I3" s="10"/>
      <c r="J3" s="10"/>
      <c r="K3" s="3"/>
      <c r="L3" s="3"/>
      <c r="M3" s="3"/>
      <c r="N3" s="3"/>
    </row>
    <row r="4" spans="1:14" s="5" customFormat="1" ht="62.1" customHeight="1" x14ac:dyDescent="0.25">
      <c r="A4" s="11"/>
      <c r="B4" s="17" t="s">
        <v>18</v>
      </c>
      <c r="C4" s="17" t="s">
        <v>0</v>
      </c>
      <c r="D4" s="17" t="s">
        <v>8</v>
      </c>
      <c r="E4" s="24" t="s">
        <v>15</v>
      </c>
      <c r="F4" s="24" t="s">
        <v>10</v>
      </c>
      <c r="G4" s="17" t="s">
        <v>9</v>
      </c>
      <c r="H4" s="17" t="s">
        <v>17</v>
      </c>
      <c r="I4" s="24" t="s">
        <v>11</v>
      </c>
      <c r="J4" s="24" t="s">
        <v>12</v>
      </c>
      <c r="K4" s="17" t="s">
        <v>14</v>
      </c>
      <c r="L4" s="17" t="s">
        <v>13</v>
      </c>
      <c r="M4" s="17" t="s">
        <v>1</v>
      </c>
      <c r="N4" s="11"/>
    </row>
    <row r="5" spans="1:14" s="5" customFormat="1" ht="33.9" customHeight="1" x14ac:dyDescent="0.25">
      <c r="A5" s="3"/>
      <c r="B5" s="18" t="s">
        <v>45</v>
      </c>
      <c r="C5" s="18" t="s">
        <v>29</v>
      </c>
      <c r="D5" s="18" t="s">
        <v>24</v>
      </c>
      <c r="E5" s="25">
        <f ca="1">TODAY()-5</f>
        <v>45604</v>
      </c>
      <c r="F5" s="25">
        <f ca="1">TODAY()</f>
        <v>45609</v>
      </c>
      <c r="G5" s="18">
        <v>10</v>
      </c>
      <c r="H5" s="21">
        <f ca="1">IF(COUNTA('Project tracker'!$E5,'Project tracker'!$F5)&lt;&gt;2,"",DAYS360('Project tracker'!$E5,'Project tracker'!$F5,FALSE))</f>
        <v>5</v>
      </c>
      <c r="I5" s="25">
        <f ca="1">TODAY()-5</f>
        <v>45604</v>
      </c>
      <c r="J5" s="25">
        <f ca="1">TODAY()</f>
        <v>45609</v>
      </c>
      <c r="K5" s="18">
        <v>5</v>
      </c>
      <c r="L5" s="21">
        <f ca="1">IF(COUNTA('Project tracker'!$I5,'Project tracker'!$J5)&lt;&gt;2,"",DAYS360('Project tracker'!$I5,'Project tracker'!$J5,FALSE))</f>
        <v>5</v>
      </c>
      <c r="M5" s="18" t="s">
        <v>34</v>
      </c>
      <c r="N5" s="3"/>
    </row>
    <row r="6" spans="1:14" s="5" customFormat="1" ht="33.9" customHeight="1" x14ac:dyDescent="0.25">
      <c r="A6" s="3"/>
      <c r="B6" s="18" t="s">
        <v>28</v>
      </c>
      <c r="C6" s="18" t="s">
        <v>29</v>
      </c>
      <c r="D6" s="18" t="s">
        <v>24</v>
      </c>
      <c r="E6" s="25">
        <f ca="1">TODAY()-5</f>
        <v>45604</v>
      </c>
      <c r="F6" s="25">
        <f ca="1">TODAY()+5</f>
        <v>45614</v>
      </c>
      <c r="G6" s="18">
        <v>4</v>
      </c>
      <c r="H6" s="21">
        <f ca="1">IF(COUNTA('Project tracker'!$E6,'Project tracker'!$F6)&lt;&gt;2,"",DAYS360('Project tracker'!$E6,'Project tracker'!$F6,FALSE))</f>
        <v>10</v>
      </c>
      <c r="I6" s="25">
        <f ca="1">TODAY()-5</f>
        <v>45604</v>
      </c>
      <c r="J6" s="25">
        <f ca="1">TODAY()+5</f>
        <v>45614</v>
      </c>
      <c r="K6" s="18">
        <v>6</v>
      </c>
      <c r="L6" s="21">
        <f ca="1">IF(COUNTA('Project tracker'!$I6,'Project tracker'!$J6)&lt;&gt;2,"",DAYS360('Project tracker'!$I6,'Project tracker'!$J6,FALSE))</f>
        <v>10</v>
      </c>
      <c r="M6" s="18" t="s">
        <v>35</v>
      </c>
      <c r="N6" s="3"/>
    </row>
    <row r="7" spans="1:14" s="5" customFormat="1" ht="33.9" customHeight="1" x14ac:dyDescent="0.25">
      <c r="A7" s="3"/>
      <c r="B7" s="18" t="s">
        <v>46</v>
      </c>
      <c r="C7" s="18" t="s">
        <v>29</v>
      </c>
      <c r="D7" s="18" t="s">
        <v>24</v>
      </c>
      <c r="E7" s="25">
        <f ca="1">TODAY()</f>
        <v>45609</v>
      </c>
      <c r="F7" s="25">
        <f ca="1">TODAY()+17</f>
        <v>45626</v>
      </c>
      <c r="G7" s="18">
        <v>50</v>
      </c>
      <c r="H7" s="21">
        <f ca="1">IF(COUNTA('Project tracker'!$E7,'Project tracker'!$F7)&lt;&gt;2,"",DAYS360('Project tracker'!$E7,'Project tracker'!$F7,FALSE))</f>
        <v>17</v>
      </c>
      <c r="I7" s="25">
        <f ca="1">TODAY()</f>
        <v>45609</v>
      </c>
      <c r="J7" s="25">
        <f ca="1">TODAY()+17</f>
        <v>45626</v>
      </c>
      <c r="K7" s="18">
        <v>4</v>
      </c>
      <c r="L7" s="21">
        <f ca="1">IF(COUNTA('Project tracker'!$I7,'Project tracker'!$J7)&lt;&gt;2,"",DAYS360('Project tracker'!$I7,'Project tracker'!$J7,FALSE))</f>
        <v>17</v>
      </c>
      <c r="M7" s="18" t="s">
        <v>36</v>
      </c>
      <c r="N7" s="3"/>
    </row>
    <row r="8" spans="1:14" s="5" customFormat="1" ht="33.9" customHeight="1" x14ac:dyDescent="0.25">
      <c r="A8" s="3"/>
      <c r="B8" s="18" t="s">
        <v>47</v>
      </c>
      <c r="C8" s="18" t="s">
        <v>30</v>
      </c>
      <c r="D8" s="18" t="s">
        <v>23</v>
      </c>
      <c r="E8" s="25">
        <f ca="1">TODAY()</f>
        <v>45609</v>
      </c>
      <c r="F8" s="25">
        <f ca="1">TODAY()+17</f>
        <v>45626</v>
      </c>
      <c r="G8" s="18">
        <v>15</v>
      </c>
      <c r="H8" s="21">
        <f ca="1">IF(COUNTA('Project tracker'!$E8,'Project tracker'!$F8)&lt;&gt;2,"",DAYS360('Project tracker'!$E8,'Project tracker'!$F8,FALSE))</f>
        <v>17</v>
      </c>
      <c r="I8" s="25">
        <f ca="1">TODAY()</f>
        <v>45609</v>
      </c>
      <c r="J8" s="25">
        <f ca="1">TODAY()+17</f>
        <v>45626</v>
      </c>
      <c r="K8" s="18">
        <v>1</v>
      </c>
      <c r="L8" s="21">
        <f ca="1">IF(COUNTA('Project tracker'!$I8,'Project tracker'!$J8)&lt;&gt;2,"",DAYS360('Project tracker'!$I8,'Project tracker'!$J8,FALSE))</f>
        <v>17</v>
      </c>
      <c r="M8" s="18" t="s">
        <v>37</v>
      </c>
      <c r="N8" s="3"/>
    </row>
    <row r="9" spans="1:14" s="5" customFormat="1" ht="33.9" customHeight="1" x14ac:dyDescent="0.25">
      <c r="A9" s="3"/>
      <c r="B9" s="18" t="s">
        <v>32</v>
      </c>
      <c r="C9" s="18" t="s">
        <v>30</v>
      </c>
      <c r="D9" s="18" t="s">
        <v>23</v>
      </c>
      <c r="E9" s="25">
        <f ca="1">TODAY()</f>
        <v>45609</v>
      </c>
      <c r="F9" s="25">
        <f ca="1">TODAY()+17</f>
        <v>45626</v>
      </c>
      <c r="G9" s="18">
        <v>10</v>
      </c>
      <c r="H9" s="21">
        <f ca="1">IF(COUNTA('Project tracker'!$E9,'Project tracker'!$F9)&lt;&gt;2,"",DAYS360('Project tracker'!$E9,'Project tracker'!$F9,FALSE))</f>
        <v>17</v>
      </c>
      <c r="I9" s="25">
        <f ca="1">TODAY()</f>
        <v>45609</v>
      </c>
      <c r="J9" s="25">
        <f ca="1">TODAY()+17</f>
        <v>45626</v>
      </c>
      <c r="K9" s="18">
        <v>1</v>
      </c>
      <c r="L9" s="21">
        <f ca="1">IF(COUNTA('Project tracker'!$I9,'Project tracker'!$J9)&lt;&gt;2,"",DAYS360('Project tracker'!$I9,'Project tracker'!$J9,FALSE))</f>
        <v>17</v>
      </c>
      <c r="M9" s="18" t="s">
        <v>39</v>
      </c>
      <c r="N9" s="3"/>
    </row>
    <row r="10" spans="1:14" s="5" customFormat="1" ht="33.9" customHeight="1" x14ac:dyDescent="0.25">
      <c r="A10" s="3"/>
      <c r="B10" s="18" t="s">
        <v>31</v>
      </c>
      <c r="C10" s="18" t="s">
        <v>30</v>
      </c>
      <c r="D10" s="18" t="s">
        <v>23</v>
      </c>
      <c r="E10" s="25">
        <f ca="1">TODAY()+3</f>
        <v>45612</v>
      </c>
      <c r="F10" s="25">
        <f ca="1">TODAY()+17</f>
        <v>45626</v>
      </c>
      <c r="G10" s="18">
        <v>5</v>
      </c>
      <c r="H10" s="21">
        <f ca="1">IF(COUNTA('Project tracker'!$E10,'Project tracker'!$F10)&lt;&gt;2,"",DAYS360('Project tracker'!$E10,'Project tracker'!$F10,FALSE))</f>
        <v>14</v>
      </c>
      <c r="I10" s="25">
        <f ca="1">TODAY()+3</f>
        <v>45612</v>
      </c>
      <c r="J10" s="25">
        <f ca="1">TODAY()+17</f>
        <v>45626</v>
      </c>
      <c r="K10" s="18">
        <v>6</v>
      </c>
      <c r="L10" s="21">
        <f ca="1">IF(COUNTA('Project tracker'!$I10,'Project tracker'!$J10)&lt;&gt;2,"",DAYS360('Project tracker'!$I10,'Project tracker'!$J10,FALSE))</f>
        <v>14</v>
      </c>
      <c r="M10" s="18" t="s">
        <v>38</v>
      </c>
      <c r="N10" s="3"/>
    </row>
    <row r="11" spans="1:14" ht="30" customHeight="1" x14ac:dyDescent="0.25">
      <c r="B11" s="28"/>
      <c r="C11" s="28"/>
      <c r="D11" s="28"/>
      <c r="E11" s="29"/>
      <c r="F11" s="29"/>
      <c r="G11" s="28"/>
      <c r="H11" s="21" t="str">
        <f>IF(COUNTA('Project tracker'!$E11,'Project tracker'!$F11)&lt;&gt;2,"",DAYS360('Project tracker'!$E11,'Project tracker'!$F11,FALSE))</f>
        <v/>
      </c>
      <c r="I11" s="29"/>
      <c r="J11" s="29"/>
      <c r="K11" s="28"/>
      <c r="L11" s="21" t="str">
        <f>IF(COUNTA('Project tracker'!$I11,'Project tracker'!$J11)&lt;&gt;2,"",DAYS360('Project tracker'!$I11,'Project tracker'!$J11,FALSE))</f>
        <v/>
      </c>
      <c r="M11" s="28"/>
    </row>
    <row r="12" spans="1:14" ht="30" customHeight="1" x14ac:dyDescent="0.25">
      <c r="B12" s="28"/>
      <c r="C12" s="28"/>
      <c r="D12" s="28"/>
      <c r="E12" s="29"/>
      <c r="F12" s="29"/>
      <c r="G12" s="28"/>
      <c r="H12" s="21" t="str">
        <f>IF(COUNTA('Project tracker'!$E12,'Project tracker'!$F12)&lt;&gt;2,"",DAYS360('Project tracker'!$E12,'Project tracker'!$F12,FALSE))</f>
        <v/>
      </c>
      <c r="I12" s="29"/>
      <c r="J12" s="29"/>
      <c r="K12" s="28"/>
      <c r="L12" s="21" t="str">
        <f>IF(COUNTA('Project tracker'!$I12,'Project tracker'!$J12)&lt;&gt;2,"",DAYS360('Project tracker'!$I12,'Project tracker'!$J12,FALSE))</f>
        <v/>
      </c>
      <c r="M12" s="28"/>
    </row>
  </sheetData>
  <conditionalFormatting sqref="K5:K12">
    <cfRule type="expression" dxfId="1" priority="1">
      <formula>(ABS((K5-G5))/G5)&gt;FlagPercent</formula>
    </cfRule>
  </conditionalFormatting>
  <conditionalFormatting sqref="L5:L12">
    <cfRule type="expression" dxfId="0" priority="2">
      <formula>(ABS((L5-H5))/H5)&gt;FlagPercent</formula>
    </cfRule>
  </conditionalFormatting>
  <dataValidations count="15">
    <dataValidation allowBlank="1" showInputMessage="1" showErrorMessage="1" prompt="Enter project names in this column" sqref="B4" xr:uid="{00000000-0002-0000-0000-000006000000}"/>
    <dataValidation allowBlank="1" showInputMessage="1" showErrorMessage="1" prompt="Select Category name from the dropdown list in each cell in this column. Options in this list are defined in the Setup worksheet. Press ALT+DOWN ARROW to navigate the list, then ENTER to make a selection" sqref="C4" xr:uid="{00000000-0002-0000-0000-000007000000}"/>
    <dataValidation allowBlank="1" showInputMessage="1" showErrorMessage="1" prompt="Select the Employee name from the dropdown list in each cell in this column. Options are defined in the Setup worksheet. Press ALT+DOWN ARROW to navigate the list, then ENTER to make a selection" sqref="D4" xr:uid="{00000000-0002-0000-0000-000008000000}"/>
    <dataValidation allowBlank="1" showInputMessage="1" showErrorMessage="1" prompt="Enter the estimated project start date in this column" sqref="E4" xr:uid="{00000000-0002-0000-0000-000009000000}"/>
    <dataValidation allowBlank="1" showInputMessage="1" showErrorMessage="1" prompt="Enter the estimated project finish date in this column" sqref="F4" xr:uid="{00000000-0002-0000-0000-00000A000000}"/>
    <dataValidation allowBlank="1" showInputMessage="1" showErrorMessage="1" prompt="Enter estimated project work in hours" sqref="G4" xr:uid="{00000000-0002-0000-0000-00000B000000}"/>
    <dataValidation allowBlank="1" showInputMessage="1" showErrorMessage="1" prompt="Estimated duration in days is auto calculated in this column" sqref="H4" xr:uid="{00000000-0002-0000-0000-00000C000000}"/>
    <dataValidation allowBlank="1" showInputMessage="1" showErrorMessage="1" prompt="Enter the actual project start date in this column" sqref="I4" xr:uid="{00000000-0002-0000-0000-00000D000000}"/>
    <dataValidation allowBlank="1" showInputMessage="1" showErrorMessage="1" prompt="Enter the actual project finish date in this column" sqref="J4" xr:uid="{00000000-0002-0000-0000-00000E000000}"/>
    <dataValidation allowBlank="1" showInputMessage="1" showErrorMessage="1" prompt="Enter the actual project work in hours. Values that meet the Over/Under criteria are highlighted bold font styling." sqref="K4" xr:uid="{00000000-0002-0000-0000-000011000000}"/>
    <dataValidation allowBlank="1" showInputMessage="1" showErrorMessage="1" prompt="Actual number of days is auto calculated in this column. Values that meet the Over/Under criteria are highlighted bold font styling." sqref="L4" xr:uid="{00000000-0002-0000-0000-000012000000}"/>
    <dataValidation allowBlank="1" showInputMessage="1" showErrorMessage="1" prompt="Enter notes for projects in this column" sqref="M4" xr:uid="{00000000-0002-0000-0000-000013000000}"/>
    <dataValidation allowBlank="1" showInputMessage="1" showErrorMessage="1" prompt="Enter projects in this project tracker worksheet. Set the percent over/under to flag in G2. Actual work in hours and actual duration in days will highlight over/under values with bold font styling in columns K and L." sqref="A1" xr:uid="{3A6D0288-E989-47CF-AA20-17E7D5BC6A0A}"/>
    <dataValidation type="list" allowBlank="1" showInputMessage="1" showErrorMessage="1" error="Select a category from the list or create a new category to display in this list from the Setup worksheet." sqref="C5:C12" xr:uid="{00000000-0002-0000-0000-000002000000}">
      <formula1>CategoryList</formula1>
    </dataValidation>
    <dataValidation type="list" allowBlank="1" showInputMessage="1" showErrorMessage="1" error="Select an employee from the list or create a new employee to display in this list from the Setup worksheet." sqref="D5:D12" xr:uid="{00000000-0002-0000-0000-000003000000}">
      <formula1>EmployeeList</formula1>
    </dataValidation>
  </dataValidations>
  <printOptions horizontalCentered="1"/>
  <pageMargins left="0.25" right="0.25" top="0.5" bottom="0.5" header="0.3" footer="0.3"/>
  <pageSetup fitToHeight="0" orientation="landscape" r:id="rId1"/>
  <headerFooter differentFirst="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F64F2-A0CB-432E-B537-8AB164D6506B}">
  <dimension ref="A1:D4"/>
  <sheetViews>
    <sheetView topLeftCell="D1" workbookViewId="0">
      <selection activeCell="D1" sqref="D1"/>
    </sheetView>
  </sheetViews>
  <sheetFormatPr defaultColWidth="8.7265625" defaultRowHeight="13.8" x14ac:dyDescent="0.25"/>
  <cols>
    <col min="1" max="1" width="12.7265625" style="27" customWidth="1"/>
    <col min="2" max="2" width="20.08984375" style="27" customWidth="1"/>
    <col min="3" max="3" width="16.7265625" style="27" customWidth="1"/>
    <col min="4" max="16384" width="8.7265625" style="27"/>
  </cols>
  <sheetData>
    <row r="1" spans="1:4" x14ac:dyDescent="0.25">
      <c r="A1" s="27" t="s">
        <v>25</v>
      </c>
      <c r="B1" s="27" t="s">
        <v>26</v>
      </c>
      <c r="C1" s="27" t="s">
        <v>27</v>
      </c>
      <c r="D1" s="27" t="s">
        <v>48</v>
      </c>
    </row>
    <row r="2" spans="1:4" x14ac:dyDescent="0.25">
      <c r="A2" s="27" t="s">
        <v>19</v>
      </c>
    </row>
    <row r="3" spans="1:4" x14ac:dyDescent="0.25">
      <c r="A3" s="27" t="s">
        <v>20</v>
      </c>
    </row>
    <row r="4" spans="1:4" x14ac:dyDescent="0.25">
      <c r="A4" s="27" t="s">
        <v>21</v>
      </c>
    </row>
  </sheetData>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7" tint="0.59999389629810485"/>
    <pageSetUpPr fitToPage="1"/>
  </sheetPr>
  <dimension ref="A1:D11"/>
  <sheetViews>
    <sheetView showGridLines="0" zoomScale="70" zoomScaleNormal="70" workbookViewId="0">
      <selection activeCell="C5" sqref="C5"/>
    </sheetView>
  </sheetViews>
  <sheetFormatPr defaultColWidth="9" defaultRowHeight="30" customHeight="1" x14ac:dyDescent="0.25"/>
  <cols>
    <col min="1" max="1" width="6.7265625" style="12" customWidth="1"/>
    <col min="2" max="3" width="18.453125" style="23" customWidth="1"/>
    <col min="4" max="4" width="6.7265625" style="13" customWidth="1"/>
    <col min="5" max="16384" width="9" style="1"/>
  </cols>
  <sheetData>
    <row r="1" spans="1:4" customFormat="1" ht="30" customHeight="1" x14ac:dyDescent="0.25">
      <c r="A1" s="12"/>
      <c r="B1" s="12"/>
      <c r="C1" s="12"/>
      <c r="D1" s="12"/>
    </row>
    <row r="2" spans="1:4" customFormat="1" ht="80.099999999999994" customHeight="1" x14ac:dyDescent="0.25">
      <c r="A2" s="12"/>
      <c r="B2" s="16" t="s">
        <v>4</v>
      </c>
      <c r="C2" s="13"/>
      <c r="D2" s="13"/>
    </row>
    <row r="3" spans="1:4" customFormat="1" ht="30" customHeight="1" x14ac:dyDescent="0.25">
      <c r="A3" s="12"/>
      <c r="B3" s="13"/>
      <c r="C3" s="13"/>
      <c r="D3" s="13"/>
    </row>
    <row r="4" spans="1:4" customFormat="1" ht="62.1" customHeight="1" x14ac:dyDescent="0.25">
      <c r="A4" s="14"/>
      <c r="B4" s="22" t="s">
        <v>5</v>
      </c>
      <c r="C4" s="22" t="s">
        <v>6</v>
      </c>
      <c r="D4" s="15"/>
    </row>
    <row r="5" spans="1:4" customFormat="1" ht="33.9" customHeight="1" x14ac:dyDescent="0.25">
      <c r="A5" s="12"/>
      <c r="B5" s="22" t="s">
        <v>29</v>
      </c>
      <c r="C5" s="22" t="s">
        <v>40</v>
      </c>
      <c r="D5" s="13"/>
    </row>
    <row r="6" spans="1:4" customFormat="1" ht="33.9" customHeight="1" x14ac:dyDescent="0.25">
      <c r="A6" s="12"/>
      <c r="B6" s="22" t="s">
        <v>30</v>
      </c>
      <c r="C6" s="22" t="s">
        <v>41</v>
      </c>
      <c r="D6" s="13"/>
    </row>
    <row r="7" spans="1:4" customFormat="1" ht="33.9" customHeight="1" x14ac:dyDescent="0.25">
      <c r="A7" s="12"/>
      <c r="B7" s="22" t="s">
        <v>33</v>
      </c>
      <c r="C7" s="22" t="s">
        <v>42</v>
      </c>
      <c r="D7" s="13"/>
    </row>
    <row r="8" spans="1:4" customFormat="1" ht="33.9" customHeight="1" x14ac:dyDescent="0.25">
      <c r="A8" s="12"/>
      <c r="B8" s="22" t="s">
        <v>2</v>
      </c>
      <c r="C8" s="22" t="s">
        <v>43</v>
      </c>
      <c r="D8" s="13"/>
    </row>
    <row r="9" spans="1:4" customFormat="1" ht="33.9" customHeight="1" x14ac:dyDescent="0.25">
      <c r="A9" s="12"/>
      <c r="B9" s="22" t="s">
        <v>3</v>
      </c>
      <c r="C9" s="22" t="s">
        <v>44</v>
      </c>
      <c r="D9" s="13"/>
    </row>
    <row r="10" spans="1:4" customFormat="1" ht="33.9" customHeight="1" x14ac:dyDescent="0.25">
      <c r="A10" s="12"/>
      <c r="B10" s="22" t="s">
        <v>7</v>
      </c>
      <c r="C10" s="22" t="s">
        <v>24</v>
      </c>
      <c r="D10" s="13"/>
    </row>
    <row r="11" spans="1:4" customFormat="1" ht="30" customHeight="1" x14ac:dyDescent="0.25">
      <c r="A11" s="12"/>
      <c r="B11" s="23"/>
      <c r="C11" s="23"/>
      <c r="D11" s="13"/>
    </row>
  </sheetData>
  <dataValidations count="3">
    <dataValidation allowBlank="1" showInputMessage="1" showErrorMessage="1" prompt="Enter employee names in this column that will be used as options in the Assigned To dropdown list in the Project Tracker worksheet" sqref="C4" xr:uid="{00000000-0002-0000-0100-000001000000}"/>
    <dataValidation allowBlank="1" showInputMessage="1" showErrorMessage="1" prompt="Enter project categories in this column that will be used as options in the Category dropdown list in the Project Tracker worksheet" sqref="B4" xr:uid="{00000000-0002-0000-0100-000002000000}"/>
    <dataValidation allowBlank="1" showInputMessage="1" showErrorMessage="1" prompt="The setup worksheet contains a customizable list of project categories and employee names. These lists are used as dropdown lists in the project tracker worksheet. The lists do not need the same number of items between them." sqref="A1" xr:uid="{1A6985F7-C0C0-4E37-BC45-4F45CCB01119}"/>
  </dataValidations>
  <pageMargins left="0.7" right="0.7" top="0.75" bottom="0.75" header="0.3" footer="0.3"/>
  <pageSetup fitToHeight="0" orientation="portrait" r:id="rId1"/>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648F31BC-5AA3-42BF-80F4-A797E59C4FBD}">
  <ds:schemaRefs>
    <ds:schemaRef ds:uri="http://schemas.microsoft.com/sharepoint/v3/contenttype/forms"/>
  </ds:schemaRefs>
</ds:datastoreItem>
</file>

<file path=customXml/itemProps2.xml><?xml version="1.0" encoding="utf-8"?>
<ds:datastoreItem xmlns:ds="http://schemas.openxmlformats.org/officeDocument/2006/customXml" ds:itemID="{D99023F8-0F96-4650-8DC3-63EE0BD6CB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66C173-72E5-4455-ACFB-9A7596D30A2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TM02930041</Template>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Project tracker</vt:lpstr>
      <vt:lpstr>Task Lookup</vt:lpstr>
      <vt:lpstr>Setup</vt:lpstr>
      <vt:lpstr>CategoryList</vt:lpstr>
      <vt:lpstr>EmployeeList</vt:lpstr>
      <vt:lpstr>FlagPercent</vt:lpstr>
      <vt:lpstr>'Project tracker'!Print_Titles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2023-09-18T03:49:03Z</dcterms:created>
  <dcterms:modified xsi:type="dcterms:W3CDTF">2024-11-14T04:33:30Z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