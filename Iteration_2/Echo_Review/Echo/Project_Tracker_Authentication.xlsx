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8C9C5012-A568-4685-912B-3747F7F1FA06}"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Setup" sheetId="2" r:id="rId2"/>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16" i="1"/>
  <c r="H17" i="1"/>
  <c r="H18" i="1"/>
  <c r="H19" i="1"/>
  <c r="H20" i="1"/>
  <c r="H21" i="1"/>
  <c r="H22" i="1"/>
  <c r="H23" i="1"/>
  <c r="H24" i="1"/>
  <c r="H25" i="1"/>
  <c r="H26" i="1"/>
  <c r="H27" i="1"/>
  <c r="H28" i="1"/>
  <c r="H29" i="1"/>
  <c r="H30" i="1"/>
  <c r="H31" i="1"/>
  <c r="H32" i="1"/>
  <c r="H33" i="1"/>
  <c r="H34" i="1"/>
  <c r="H35" i="1"/>
  <c r="H36" i="1"/>
  <c r="H37" i="1"/>
  <c r="H38" i="1"/>
  <c r="H39" i="1"/>
  <c r="L16" i="1"/>
  <c r="L17" i="1"/>
  <c r="L18" i="1"/>
  <c r="L19" i="1"/>
  <c r="L20" i="1"/>
  <c r="L21" i="1"/>
  <c r="L22" i="1"/>
  <c r="L23" i="1"/>
  <c r="L24" i="1"/>
  <c r="L25" i="1"/>
  <c r="L26" i="1"/>
  <c r="L27" i="1"/>
  <c r="L28" i="1"/>
  <c r="L29" i="1"/>
  <c r="L30" i="1"/>
  <c r="L31" i="1"/>
  <c r="L32" i="1"/>
  <c r="L33" i="1"/>
  <c r="L34" i="1"/>
  <c r="L35" i="1"/>
  <c r="L36" i="1"/>
  <c r="L37" i="1"/>
  <c r="L38" i="1"/>
  <c r="L39" i="1"/>
  <c r="H14" i="1"/>
  <c r="H15" i="1"/>
  <c r="L14" i="1"/>
  <c r="L15" i="1"/>
  <c r="H13" i="1" l="1"/>
  <c r="L13" i="1" l="1"/>
  <c r="L5" i="1"/>
  <c r="L12" i="1"/>
  <c r="L6" i="1"/>
  <c r="L7" i="1"/>
  <c r="L8" i="1"/>
  <c r="L9" i="1"/>
  <c r="L10" i="1"/>
  <c r="L11" i="1"/>
  <c r="H7" i="1"/>
  <c r="H8" i="1"/>
  <c r="H9" i="1"/>
  <c r="H11" i="1"/>
  <c r="H12" i="1"/>
  <c r="H5" i="1"/>
  <c r="H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BDD4D4E8-5032-4C8B-BD62-C975299853BD}">
      <text>
        <r>
          <rPr>
            <b/>
            <sz val="9"/>
            <color indexed="81"/>
            <rFont val="Tahoma"/>
            <family val="2"/>
          </rPr>
          <t xml:space="preserve">Suggestion: 
</t>
        </r>
        <r>
          <rPr>
            <sz val="9"/>
            <color indexed="81"/>
            <rFont val="Tahoma"/>
            <family val="2"/>
          </rPr>
          <t>Consider having a new page tracking your meetings and what progress has been made up to that meeting</t>
        </r>
      </text>
    </comment>
    <comment ref="B4" authorId="0" shapeId="0" xr:uid="{778808BB-D9CC-4425-A305-FDBEC2517FBC}">
      <text>
        <r>
          <rPr>
            <b/>
            <sz val="9"/>
            <color indexed="81"/>
            <rFont val="Tahoma"/>
            <family val="2"/>
          </rPr>
          <t xml:space="preserve">I don't see any type of structure, sequence, or any type of Diagrams/models for your coding tasks. 
</t>
        </r>
        <r>
          <rPr>
            <sz val="9"/>
            <color indexed="81"/>
            <rFont val="Tahoma"/>
            <family val="2"/>
          </rPr>
          <t>Have you spent time modelling how these methods should function?</t>
        </r>
      </text>
    </comment>
    <comment ref="G4" authorId="0" shapeId="0" xr:uid="{5BE9B9AE-89D9-4AE3-A355-2808F9549311}">
      <text>
        <r>
          <rPr>
            <b/>
            <sz val="9"/>
            <color indexed="81"/>
            <rFont val="Tahoma"/>
            <family val="2"/>
          </rPr>
          <t xml:space="preserve">Your Tracker is not calculating your Estimated work hours automatically. </t>
        </r>
        <r>
          <rPr>
            <sz val="9"/>
            <color indexed="81"/>
            <rFont val="Tahoma"/>
            <family val="2"/>
          </rPr>
          <t>Refer to previous versions of the tracker document to reinstate it</t>
        </r>
      </text>
    </comment>
    <comment ref="B5" authorId="0" shapeId="0" xr:uid="{5D7D2C79-BA4B-408E-B34C-01E6B9A31EAC}">
      <text>
        <r>
          <rPr>
            <b/>
            <sz val="9"/>
            <color indexed="81"/>
            <rFont val="Tahoma"/>
            <family val="2"/>
          </rPr>
          <t xml:space="preserve">General Note: your tasks must have a timeline coherence. 
Remember that your authentication services are primordial for certain networking services.
</t>
        </r>
        <r>
          <rPr>
            <sz val="9"/>
            <color indexed="81"/>
            <rFont val="Tahoma"/>
            <family val="2"/>
          </rPr>
          <t>Because you have multiple trackers, make sure your subteam overviewers have estimated dates follow time coherence. For example, you cannot test the final version of your matchmaking functionalities if your profile/authentication ones are not finalized beforehand</t>
        </r>
      </text>
    </comment>
    <comment ref="D5" authorId="0" shapeId="0" xr:uid="{92BBBAC7-DDF3-4732-B9B1-B96B6EB51263}">
      <text>
        <r>
          <rPr>
            <b/>
            <sz val="9"/>
            <color indexed="81"/>
            <rFont val="Tahoma"/>
            <family val="2"/>
          </rPr>
          <t xml:space="preserve">Remember to assign your tasks to clear assignees. 
</t>
        </r>
        <r>
          <rPr>
            <sz val="9"/>
            <color indexed="81"/>
            <rFont val="Tahoma"/>
            <family val="2"/>
          </rPr>
          <t>You can use the "Setup" page for more convenience</t>
        </r>
      </text>
    </comment>
    <comment ref="H12" authorId="0" shapeId="0" xr:uid="{37453EB1-190C-4A00-9677-681AD5267F34}">
      <text>
        <r>
          <rPr>
            <b/>
            <sz val="9"/>
            <color indexed="81"/>
            <rFont val="Tahoma"/>
            <family val="2"/>
          </rPr>
          <t>Time Allocation:</t>
        </r>
        <r>
          <rPr>
            <sz val="9"/>
            <color indexed="81"/>
            <rFont val="Tahoma"/>
            <family val="2"/>
          </rPr>
          <t xml:space="preserve"> I suspect your Profile implementation will not be extremely complex and thus  your quick estimate (3 days) to get it done. Still, bear in mind that this task has a relatively shorter period in comparison to your other ones. 
</t>
        </r>
        <r>
          <rPr>
            <b/>
            <sz val="9"/>
            <color indexed="81"/>
            <rFont val="Tahoma"/>
            <family val="2"/>
          </rPr>
          <t>Consider extending it so that your assignee can conduct more specific and efficient tests</t>
        </r>
        <r>
          <rPr>
            <sz val="9"/>
            <color indexed="81"/>
            <rFont val="Tahoma"/>
            <family val="2"/>
          </rPr>
          <t xml:space="preserve">
</t>
        </r>
      </text>
    </comment>
    <comment ref="F14" authorId="0" shapeId="0" xr:uid="{D58B5075-4DA9-415A-9DDE-A7CCE501BFD4}">
      <text>
        <r>
          <rPr>
            <b/>
            <sz val="9"/>
            <color indexed="81"/>
            <rFont val="Tahoma"/>
            <family val="2"/>
          </rPr>
          <t xml:space="preserve">Potential Risk: </t>
        </r>
        <r>
          <rPr>
            <sz val="9"/>
            <color indexed="81"/>
            <rFont val="Tahoma"/>
            <family val="2"/>
          </rPr>
          <t>some of your tests extend until 1 week prior to the project's due date.</t>
        </r>
        <r>
          <rPr>
            <b/>
            <sz val="9"/>
            <color indexed="81"/>
            <rFont val="Tahoma"/>
            <family val="2"/>
          </rPr>
          <t xml:space="preserve">
Consider anticipating your estimated start dates by a week so that your team can safely test your Authentication functionalities</t>
        </r>
      </text>
    </comment>
  </commentList>
</comments>
</file>

<file path=xl/sharedStrings.xml><?xml version="1.0" encoding="utf-8"?>
<sst xmlns="http://schemas.openxmlformats.org/spreadsheetml/2006/main" count="66" uniqueCount="38">
  <si>
    <t>Project tracker</t>
  </si>
  <si>
    <t>Percent over/under to highlighted numbers</t>
  </si>
  <si>
    <t>Project</t>
  </si>
  <si>
    <t>Category</t>
  </si>
  <si>
    <t>Assigned to</t>
  </si>
  <si>
    <t>Estimated start</t>
  </si>
  <si>
    <t>Estimated finish</t>
  </si>
  <si>
    <t>Estimated work (in hours)</t>
  </si>
  <si>
    <t>Estimated duration
(in days)</t>
  </si>
  <si>
    <t>Actual start</t>
  </si>
  <si>
    <t>Actual finish</t>
  </si>
  <si>
    <t>Actual work 
(in hours)</t>
  </si>
  <si>
    <t>Actual duration (in days)</t>
  </si>
  <si>
    <t>Notes</t>
  </si>
  <si>
    <t>Profile Class</t>
  </si>
  <si>
    <t>Coding</t>
  </si>
  <si>
    <t>User Class</t>
  </si>
  <si>
    <t>UserStats Class</t>
  </si>
  <si>
    <t>GameHistory Class</t>
  </si>
  <si>
    <t>Record Class</t>
  </si>
  <si>
    <t>AuthService Class</t>
  </si>
  <si>
    <t>EmailService Class</t>
  </si>
  <si>
    <t>Test Profile</t>
  </si>
  <si>
    <t>Testing</t>
  </si>
  <si>
    <t>Test User</t>
  </si>
  <si>
    <t>Test UserStats</t>
  </si>
  <si>
    <t>Test GameHistory</t>
  </si>
  <si>
    <t>Test Record</t>
  </si>
  <si>
    <t>Test AuthService</t>
  </si>
  <si>
    <t>Test EmailService</t>
  </si>
  <si>
    <t>Setup</t>
  </si>
  <si>
    <t>Category Name</t>
  </si>
  <si>
    <t>Student Name</t>
  </si>
  <si>
    <t>Student 1</t>
  </si>
  <si>
    <t>Student 2</t>
  </si>
  <si>
    <t>Student 3</t>
  </si>
  <si>
    <t>Student 4</t>
  </si>
  <si>
    <t>Student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</si>
</sst>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4"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8"/>
      <name val="Verdana"/>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9">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17" fillId="4" borderId="0" xfId="9" applyFont="1" applyFill="1" applyAlignment="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12" fillId="4" borderId="0" xfId="0" applyFont="1" applyFill="1" applyAlignment="1">
      <alignment horizontal="left" vertical="center" indent="2"/>
    </xf>
    <xf numFmtId="14" fontId="20" fillId="4" borderId="0" xfId="8" applyFont="1" applyFill="1" applyAlignment="1">
      <alignment horizontal="left" vertical="center" indent="2"/>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39" totalsRowShown="0" headerRowDxfId="19" dataDxfId="18">
  <autoFilter ref="B4:M39"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Project"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9" totalsRowShown="0" headerRowDxfId="5" dataDxfId="4">
  <autoFilter ref="B4:C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Student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39"/>
  <sheetViews>
    <sheetView showGridLines="0" tabSelected="1" topLeftCell="A4" zoomScaleNormal="100" workbookViewId="0">
      <selection activeCell="F10" sqref="F10"/>
    </sheetView>
  </sheetViews>
  <sheetFormatPr defaultColWidth="9.1796875" defaultRowHeight="30" customHeight="1" x14ac:dyDescent="0.25"/>
  <cols>
    <col min="1" max="1" width="6.7265625" style="3" customWidth="1"/>
    <col min="2" max="4" width="18.7265625" style="20" customWidth="1"/>
    <col min="5" max="6" width="18.7265625" style="21" customWidth="1"/>
    <col min="7" max="8" width="18.7265625" style="20" customWidth="1"/>
    <col min="9" max="10" width="16.81640625" style="21" customWidth="1"/>
    <col min="11" max="12" width="16" style="20" customWidth="1"/>
    <col min="13" max="13" width="20.453125" style="20" customWidth="1"/>
    <col min="14" max="14" width="6.7265625" style="3" customWidth="1"/>
    <col min="15" max="15" width="4.1796875" style="2" customWidth="1"/>
    <col min="16" max="40" width="3.26953125" style="2" customWidth="1"/>
    <col min="41" max="16384" width="9.1796875" style="2"/>
  </cols>
  <sheetData>
    <row r="1" spans="1:14" s="5" customFormat="1" ht="30" customHeight="1" x14ac:dyDescent="0.25">
      <c r="A1" s="3"/>
      <c r="B1" s="3"/>
      <c r="C1" s="3"/>
      <c r="D1" s="3"/>
      <c r="E1" s="4"/>
      <c r="F1" s="4"/>
      <c r="G1" s="3"/>
      <c r="H1" s="3"/>
      <c r="I1" s="4"/>
      <c r="J1" s="4"/>
      <c r="K1" s="3"/>
      <c r="L1" s="3"/>
      <c r="M1" s="3"/>
      <c r="N1" s="3"/>
    </row>
    <row r="2" spans="1:14" s="5" customFormat="1" ht="79.95" customHeight="1" x14ac:dyDescent="0.25">
      <c r="A2" s="3"/>
      <c r="B2" s="12" t="s">
        <v>0</v>
      </c>
      <c r="C2" s="6"/>
      <c r="D2" s="6"/>
      <c r="E2" s="7"/>
      <c r="F2" s="8" t="s">
        <v>1</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1.95" customHeight="1" x14ac:dyDescent="0.25">
      <c r="A4" s="11"/>
      <c r="B4" s="18" t="s">
        <v>2</v>
      </c>
      <c r="C4" s="18" t="s">
        <v>3</v>
      </c>
      <c r="D4" s="18" t="s">
        <v>4</v>
      </c>
      <c r="E4" s="25" t="s">
        <v>5</v>
      </c>
      <c r="F4" s="25" t="s">
        <v>6</v>
      </c>
      <c r="G4" s="18" t="s">
        <v>7</v>
      </c>
      <c r="H4" s="18" t="s">
        <v>8</v>
      </c>
      <c r="I4" s="25" t="s">
        <v>9</v>
      </c>
      <c r="J4" s="25" t="s">
        <v>10</v>
      </c>
      <c r="K4" s="18" t="s">
        <v>11</v>
      </c>
      <c r="L4" s="18" t="s">
        <v>12</v>
      </c>
      <c r="M4" s="18" t="s">
        <v>13</v>
      </c>
      <c r="N4" s="11"/>
    </row>
    <row r="5" spans="1:14" s="5" customFormat="1" ht="34.049999999999997" customHeight="1" x14ac:dyDescent="0.25">
      <c r="A5" s="3"/>
      <c r="B5" s="19" t="s">
        <v>14</v>
      </c>
      <c r="C5" s="19" t="s">
        <v>15</v>
      </c>
      <c r="D5" s="19" t="s">
        <v>33</v>
      </c>
      <c r="E5" s="26">
        <v>45604</v>
      </c>
      <c r="F5" s="26">
        <v>45614</v>
      </c>
      <c r="G5" s="19"/>
      <c r="H5" s="22">
        <f>IF(COUNTA('Project tracker'!$E5,'Project tracker'!$F5)&lt;&gt;2,"",DAYS360('Project tracker'!$E5,'Project tracker'!$F5,FALSE))</f>
        <v>10</v>
      </c>
      <c r="I5" s="26"/>
      <c r="J5" s="26"/>
      <c r="K5" s="19"/>
      <c r="L5" s="22" t="str">
        <f>IF(COUNTA('Project tracker'!$I5,'Project tracker'!$J5)&lt;&gt;2,"",DAYS360('Project tracker'!$I5,'Project tracker'!$J5,FALSE))</f>
        <v/>
      </c>
      <c r="M5" s="19"/>
      <c r="N5" s="3"/>
    </row>
    <row r="6" spans="1:14" s="5" customFormat="1" ht="34.049999999999997" customHeight="1" x14ac:dyDescent="0.25">
      <c r="A6" s="3"/>
      <c r="B6" s="19" t="s">
        <v>16</v>
      </c>
      <c r="C6" s="19" t="s">
        <v>15</v>
      </c>
      <c r="D6" s="19" t="s">
        <v>34</v>
      </c>
      <c r="E6" s="26">
        <v>45604</v>
      </c>
      <c r="F6" s="26">
        <v>45618</v>
      </c>
      <c r="G6" s="19"/>
      <c r="H6" s="22">
        <f>IF(COUNTA('Project tracker'!$E6,'Project tracker'!$F6)&lt;&gt;2,"",DAYS360('Project tracker'!$E6,'Project tracker'!$F6,FALSE))</f>
        <v>14</v>
      </c>
      <c r="I6" s="26"/>
      <c r="J6" s="26"/>
      <c r="K6" s="19"/>
      <c r="L6" s="22" t="str">
        <f>IF(COUNTA('Project tracker'!$I6,'Project tracker'!$J6)&lt;&gt;2,"",DAYS360('Project tracker'!$I6,'Project tracker'!$J6,FALSE))</f>
        <v/>
      </c>
      <c r="M6" s="19"/>
      <c r="N6" s="3"/>
    </row>
    <row r="7" spans="1:14" s="5" customFormat="1" ht="34.049999999999997" customHeight="1" x14ac:dyDescent="0.25">
      <c r="A7" s="3"/>
      <c r="B7" s="19" t="s">
        <v>17</v>
      </c>
      <c r="C7" s="19" t="s">
        <v>15</v>
      </c>
      <c r="D7" s="19" t="s">
        <v>35</v>
      </c>
      <c r="E7" s="26">
        <v>45603</v>
      </c>
      <c r="F7" s="26">
        <v>45620</v>
      </c>
      <c r="G7" s="19"/>
      <c r="H7" s="22">
        <f>IF(COUNTA('Project tracker'!$E7,'Project tracker'!$F7)&lt;&gt;2,"",DAYS360('Project tracker'!$E7,'Project tracker'!$F7,FALSE))</f>
        <v>17</v>
      </c>
      <c r="I7" s="26"/>
      <c r="J7" s="26"/>
      <c r="K7" s="19"/>
      <c r="L7" s="22" t="str">
        <f>IF(COUNTA('Project tracker'!$I7,'Project tracker'!$J7)&lt;&gt;2,"",DAYS360('Project tracker'!$I7,'Project tracker'!$J7,FALSE))</f>
        <v/>
      </c>
      <c r="M7" s="19"/>
      <c r="N7" s="3"/>
    </row>
    <row r="8" spans="1:14" s="5" customFormat="1" ht="34.049999999999997" customHeight="1" x14ac:dyDescent="0.25">
      <c r="A8" s="3"/>
      <c r="B8" s="19" t="s">
        <v>18</v>
      </c>
      <c r="C8" s="19" t="s">
        <v>15</v>
      </c>
      <c r="D8" s="19" t="s">
        <v>35</v>
      </c>
      <c r="E8" s="26">
        <v>45603</v>
      </c>
      <c r="F8" s="26">
        <v>45620</v>
      </c>
      <c r="G8" s="19"/>
      <c r="H8" s="22">
        <f>IF(COUNTA('Project tracker'!$E8,'Project tracker'!$F8)&lt;&gt;2,"",DAYS360('Project tracker'!$E8,'Project tracker'!$F8,FALSE))</f>
        <v>17</v>
      </c>
      <c r="I8" s="26"/>
      <c r="J8" s="26"/>
      <c r="K8" s="19"/>
      <c r="L8" s="22" t="str">
        <f>IF(COUNTA('Project tracker'!$I8,'Project tracker'!$J8)&lt;&gt;2,"",DAYS360('Project tracker'!$I8,'Project tracker'!$J8,FALSE))</f>
        <v/>
      </c>
      <c r="M8" s="19"/>
      <c r="N8" s="3"/>
    </row>
    <row r="9" spans="1:14" s="5" customFormat="1" ht="34.049999999999997" customHeight="1" x14ac:dyDescent="0.25">
      <c r="A9" s="3"/>
      <c r="B9" s="19" t="s">
        <v>19</v>
      </c>
      <c r="C9" s="19" t="s">
        <v>15</v>
      </c>
      <c r="D9" s="19" t="s">
        <v>36</v>
      </c>
      <c r="E9" s="26">
        <v>45603</v>
      </c>
      <c r="F9" s="26">
        <v>45611</v>
      </c>
      <c r="G9" s="19"/>
      <c r="H9" s="22">
        <f>IF(COUNTA('Project tracker'!$E9,'Project tracker'!$F9)&lt;&gt;2,"",DAYS360('Project tracker'!$E9,'Project tracker'!$F9,FALSE))</f>
        <v>8</v>
      </c>
      <c r="I9" s="26"/>
      <c r="J9" s="26"/>
      <c r="K9" s="19"/>
      <c r="L9" s="22" t="str">
        <f>IF(COUNTA('Project tracker'!$I9,'Project tracker'!$J9)&lt;&gt;2,"",DAYS360('Project tracker'!$I9,'Project tracker'!$J9,FALSE))</f>
        <v/>
      </c>
      <c r="M9" s="19"/>
      <c r="N9" s="3"/>
    </row>
    <row r="10" spans="1:14" s="5" customFormat="1" ht="34.049999999999997" customHeight="1" x14ac:dyDescent="0.25">
      <c r="A10" s="3"/>
      <c r="B10" s="19" t="s">
        <v>20</v>
      </c>
      <c r="C10" s="19" t="s">
        <v>15</v>
      </c>
      <c r="D10" s="19" t="s">
        <v>36</v>
      </c>
      <c r="E10" s="26">
        <v>45607</v>
      </c>
      <c r="F10" s="26">
        <v>45616</v>
      </c>
      <c r="G10" s="19"/>
      <c r="H10" s="22">
        <f>IF(COUNTA('Project tracker'!$E10,'Project tracker'!$F10)&lt;&gt;2,"",DAYS360('Project tracker'!$E10,'Project tracker'!$F10,FALSE))</f>
        <v>9</v>
      </c>
      <c r="I10" s="26"/>
      <c r="J10" s="26"/>
      <c r="K10" s="19"/>
      <c r="L10" s="22" t="str">
        <f>IF(COUNTA('Project tracker'!$I10,'Project tracker'!$J10)&lt;&gt;2,"",DAYS360('Project tracker'!$I10,'Project tracker'!$J10,FALSE))</f>
        <v/>
      </c>
      <c r="M10" s="19"/>
      <c r="N10" s="3"/>
    </row>
    <row r="11" spans="1:14" s="5" customFormat="1" ht="34.049999999999997" customHeight="1" x14ac:dyDescent="0.25">
      <c r="A11" s="3"/>
      <c r="B11" s="19" t="s">
        <v>21</v>
      </c>
      <c r="C11" s="19" t="s">
        <v>15</v>
      </c>
      <c r="D11" s="19" t="s">
        <v>37</v>
      </c>
      <c r="E11" s="26">
        <v>45607</v>
      </c>
      <c r="F11" s="26">
        <v>45616</v>
      </c>
      <c r="G11" s="19"/>
      <c r="H11" s="22">
        <f>IF(COUNTA('Project tracker'!$E11,'Project tracker'!$F11)&lt;&gt;2,"",DAYS360('Project tracker'!$E11,'Project tracker'!$F11,FALSE))</f>
        <v>9</v>
      </c>
      <c r="I11" s="26"/>
      <c r="J11" s="26"/>
      <c r="K11" s="19"/>
      <c r="L11" s="22" t="str">
        <f>IF(COUNTA('Project tracker'!$I11,'Project tracker'!$J11)&lt;&gt;2,"",DAYS360('Project tracker'!$I11,'Project tracker'!$J11,FALSE))</f>
        <v/>
      </c>
      <c r="M11" s="19"/>
      <c r="N11" s="3"/>
    </row>
    <row r="12" spans="1:14" s="5" customFormat="1" ht="34.049999999999997" customHeight="1" x14ac:dyDescent="0.25">
      <c r="A12" s="3"/>
      <c r="B12" s="19" t="s">
        <v>22</v>
      </c>
      <c r="C12" s="19" t="s">
        <v>23</v>
      </c>
      <c r="D12" s="19" t="s">
        <v>33</v>
      </c>
      <c r="E12" s="26">
        <v>45611</v>
      </c>
      <c r="F12" s="26">
        <v>45614</v>
      </c>
      <c r="G12" s="19"/>
      <c r="H12" s="22">
        <f>IF(COUNTA('Project tracker'!$E12,'Project tracker'!$F12)&lt;&gt;2,"",DAYS360('Project tracker'!$E12,'Project tracker'!$F12,FALSE))</f>
        <v>3</v>
      </c>
      <c r="I12" s="26"/>
      <c r="J12" s="26"/>
      <c r="K12" s="19"/>
      <c r="L12" s="22" t="str">
        <f>IF(COUNTA('Project tracker'!$I12,'Project tracker'!$J12)&lt;&gt;2,"",DAYS360('Project tracker'!$I12,'Project tracker'!$J12,FALSE))</f>
        <v/>
      </c>
      <c r="M12" s="19"/>
      <c r="N12" s="3"/>
    </row>
    <row r="13" spans="1:14" s="5" customFormat="1" ht="34.049999999999997" customHeight="1" x14ac:dyDescent="0.25">
      <c r="A13" s="3"/>
      <c r="B13" s="19" t="s">
        <v>24</v>
      </c>
      <c r="C13" s="19" t="s">
        <v>23</v>
      </c>
      <c r="D13" s="19" t="s">
        <v>34</v>
      </c>
      <c r="E13" s="26">
        <v>45607</v>
      </c>
      <c r="F13" s="26">
        <v>45624</v>
      </c>
      <c r="G13" s="19"/>
      <c r="H13" s="22">
        <f>IF(COUNTA('Project tracker'!$E13,'Project tracker'!$F13)&lt;&gt;2,"",DAYS360('Project tracker'!$E13,'Project tracker'!$F13,FALSE))</f>
        <v>17</v>
      </c>
      <c r="I13" s="26"/>
      <c r="J13" s="26"/>
      <c r="K13" s="19"/>
      <c r="L13" s="22" t="str">
        <f>IF(COUNTA('Project tracker'!$I13,'Project tracker'!$J13)&lt;&gt;2,"",DAYS360('Project tracker'!$I13,'Project tracker'!$J13,FALSE))</f>
        <v/>
      </c>
      <c r="M13" s="19"/>
      <c r="N13" s="3"/>
    </row>
    <row r="14" spans="1:14" s="5" customFormat="1" ht="30" customHeight="1" x14ac:dyDescent="0.25">
      <c r="A14" s="3"/>
      <c r="B14" s="27" t="s">
        <v>25</v>
      </c>
      <c r="C14" s="27" t="s">
        <v>23</v>
      </c>
      <c r="D14" s="27" t="s">
        <v>35</v>
      </c>
      <c r="E14" s="28">
        <v>45613</v>
      </c>
      <c r="F14" s="28">
        <v>45626</v>
      </c>
      <c r="G14" s="27"/>
      <c r="H14" s="22">
        <f>IF(COUNTA('Project tracker'!$E14,'Project tracker'!$F14)&lt;&gt;2,"",DAYS360('Project tracker'!$E14,'Project tracker'!$F14,FALSE))</f>
        <v>13</v>
      </c>
      <c r="I14" s="28"/>
      <c r="J14" s="28"/>
      <c r="K14" s="27"/>
      <c r="L14" s="22" t="str">
        <f>IF(COUNTA('Project tracker'!$I14,'Project tracker'!$J14)&lt;&gt;2,"",DAYS360('Project tracker'!$I14,'Project tracker'!$J14,FALSE))</f>
        <v/>
      </c>
      <c r="M14" s="27"/>
      <c r="N14" s="3"/>
    </row>
    <row r="15" spans="1:14" ht="30" customHeight="1" x14ac:dyDescent="0.25">
      <c r="B15" s="27" t="s">
        <v>26</v>
      </c>
      <c r="C15" s="27" t="s">
        <v>23</v>
      </c>
      <c r="D15" s="27" t="s">
        <v>37</v>
      </c>
      <c r="E15" s="28">
        <v>45607</v>
      </c>
      <c r="F15" s="28">
        <v>45616</v>
      </c>
      <c r="G15" s="27"/>
      <c r="H15" s="22">
        <f>IF(COUNTA('Project tracker'!$E15,'Project tracker'!$F15)&lt;&gt;2,"",DAYS360('Project tracker'!$E15,'Project tracker'!$F15,FALSE))</f>
        <v>9</v>
      </c>
      <c r="I15" s="28"/>
      <c r="J15" s="28"/>
      <c r="K15" s="27"/>
      <c r="L15" s="22" t="str">
        <f>IF(COUNTA('Project tracker'!$I15,'Project tracker'!$J15)&lt;&gt;2,"",DAYS360('Project tracker'!$I15,'Project tracker'!$J15,FALSE))</f>
        <v/>
      </c>
      <c r="M15" s="27"/>
    </row>
    <row r="16" spans="1:14" ht="30" customHeight="1" x14ac:dyDescent="0.25">
      <c r="B16" s="27" t="s">
        <v>27</v>
      </c>
      <c r="C16" s="27" t="s">
        <v>23</v>
      </c>
      <c r="D16" s="27" t="s">
        <v>36</v>
      </c>
      <c r="E16" s="28">
        <v>45613</v>
      </c>
      <c r="F16" s="28">
        <v>45621</v>
      </c>
      <c r="G16" s="27"/>
      <c r="H16" s="22">
        <f>IF(COUNTA('Project tracker'!$E16,'Project tracker'!$F16)&lt;&gt;2,"",DAYS360('Project tracker'!$E16,'Project tracker'!$F16,FALSE))</f>
        <v>8</v>
      </c>
      <c r="I16" s="28"/>
      <c r="J16" s="28"/>
      <c r="K16" s="27"/>
      <c r="L16" s="22" t="str">
        <f>IF(COUNTA('Project tracker'!$I16,'Project tracker'!$J16)&lt;&gt;2,"",DAYS360('Project tracker'!$I16,'Project tracker'!$J16,FALSE))</f>
        <v/>
      </c>
      <c r="M16" s="27"/>
    </row>
    <row r="17" spans="2:13" ht="30" customHeight="1" x14ac:dyDescent="0.25">
      <c r="B17" s="27" t="s">
        <v>28</v>
      </c>
      <c r="C17" s="27" t="s">
        <v>23</v>
      </c>
      <c r="D17" s="27" t="s">
        <v>36</v>
      </c>
      <c r="E17" s="28">
        <v>45619</v>
      </c>
      <c r="F17" s="28">
        <v>45625</v>
      </c>
      <c r="G17" s="27"/>
      <c r="H17" s="22">
        <f>IF(COUNTA('Project tracker'!$E17,'Project tracker'!$F17)&lt;&gt;2,"",DAYS360('Project tracker'!$E17,'Project tracker'!$F17,FALSE))</f>
        <v>6</v>
      </c>
      <c r="I17" s="28"/>
      <c r="J17" s="28"/>
      <c r="K17" s="27"/>
      <c r="L17" s="22" t="str">
        <f>IF(COUNTA('Project tracker'!$I17,'Project tracker'!$J17)&lt;&gt;2,"",DAYS360('Project tracker'!$I17,'Project tracker'!$J17,FALSE))</f>
        <v/>
      </c>
      <c r="M17" s="27"/>
    </row>
    <row r="18" spans="2:13" ht="30" customHeight="1" x14ac:dyDescent="0.25">
      <c r="B18" s="27" t="s">
        <v>29</v>
      </c>
      <c r="C18" s="27" t="s">
        <v>23</v>
      </c>
      <c r="D18" s="27" t="s">
        <v>37</v>
      </c>
      <c r="E18" s="28">
        <v>45607</v>
      </c>
      <c r="F18" s="28">
        <v>45616</v>
      </c>
      <c r="G18" s="27"/>
      <c r="H18" s="22">
        <f>IF(COUNTA('Project tracker'!$E18,'Project tracker'!$F18)&lt;&gt;2,"",DAYS360('Project tracker'!$E18,'Project tracker'!$F18,FALSE))</f>
        <v>9</v>
      </c>
      <c r="I18" s="28"/>
      <c r="J18" s="28"/>
      <c r="K18" s="27"/>
      <c r="L18" s="22" t="str">
        <f>IF(COUNTA('Project tracker'!$I18,'Project tracker'!$J18)&lt;&gt;2,"",DAYS360('Project tracker'!$I18,'Project tracker'!$J18,FALSE))</f>
        <v/>
      </c>
      <c r="M18" s="27"/>
    </row>
    <row r="19" spans="2:13" ht="30" customHeight="1" x14ac:dyDescent="0.25">
      <c r="B19" s="27"/>
      <c r="C19" s="27"/>
      <c r="D19" s="27"/>
      <c r="E19" s="28"/>
      <c r="F19" s="28"/>
      <c r="G19" s="27"/>
      <c r="H19" s="22" t="str">
        <f>IF(COUNTA('Project tracker'!$E19,'Project tracker'!$F19)&lt;&gt;2,"",DAYS360('Project tracker'!$E19,'Project tracker'!$F19,FALSE))</f>
        <v/>
      </c>
      <c r="I19" s="28"/>
      <c r="J19" s="28"/>
      <c r="K19" s="27"/>
      <c r="L19" s="22" t="str">
        <f>IF(COUNTA('Project tracker'!$I19,'Project tracker'!$J19)&lt;&gt;2,"",DAYS360('Project tracker'!$I19,'Project tracker'!$J19,FALSE))</f>
        <v/>
      </c>
      <c r="M19" s="27"/>
    </row>
    <row r="20" spans="2:13" ht="30" customHeight="1" x14ac:dyDescent="0.25">
      <c r="B20" s="27"/>
      <c r="C20" s="27"/>
      <c r="D20" s="27"/>
      <c r="E20" s="28"/>
      <c r="F20" s="28"/>
      <c r="G20" s="27"/>
      <c r="H20" s="22" t="str">
        <f>IF(COUNTA('Project tracker'!$E20,'Project tracker'!$F20)&lt;&gt;2,"",DAYS360('Project tracker'!$E20,'Project tracker'!$F20,FALSE))</f>
        <v/>
      </c>
      <c r="I20" s="28"/>
      <c r="J20" s="28"/>
      <c r="K20" s="27"/>
      <c r="L20" s="22" t="str">
        <f>IF(COUNTA('Project tracker'!$I20,'Project tracker'!$J20)&lt;&gt;2,"",DAYS360('Project tracker'!$I20,'Project tracker'!$J20,FALSE))</f>
        <v/>
      </c>
      <c r="M20" s="27"/>
    </row>
    <row r="21" spans="2:13" ht="30" customHeight="1" x14ac:dyDescent="0.25">
      <c r="B21" s="27"/>
      <c r="C21" s="27"/>
      <c r="D21" s="27"/>
      <c r="E21" s="28"/>
      <c r="F21" s="28"/>
      <c r="G21" s="27"/>
      <c r="H21" s="22" t="str">
        <f>IF(COUNTA('Project tracker'!$E21,'Project tracker'!$F21)&lt;&gt;2,"",DAYS360('Project tracker'!$E21,'Project tracker'!$F21,FALSE))</f>
        <v/>
      </c>
      <c r="I21" s="28"/>
      <c r="J21" s="28"/>
      <c r="K21" s="27"/>
      <c r="L21" s="22" t="str">
        <f>IF(COUNTA('Project tracker'!$I21,'Project tracker'!$J21)&lt;&gt;2,"",DAYS360('Project tracker'!$I21,'Project tracker'!$J21,FALSE))</f>
        <v/>
      </c>
      <c r="M21" s="27"/>
    </row>
    <row r="22" spans="2:13" ht="30" customHeight="1" x14ac:dyDescent="0.25">
      <c r="B22" s="27"/>
      <c r="C22" s="27"/>
      <c r="D22" s="27"/>
      <c r="E22" s="28"/>
      <c r="F22" s="28"/>
      <c r="G22" s="27"/>
      <c r="H22" s="22" t="str">
        <f>IF(COUNTA('Project tracker'!$E22,'Project tracker'!$F22)&lt;&gt;2,"",DAYS360('Project tracker'!$E22,'Project tracker'!$F22,FALSE))</f>
        <v/>
      </c>
      <c r="I22" s="28"/>
      <c r="J22" s="28"/>
      <c r="K22" s="27"/>
      <c r="L22" s="22" t="str">
        <f>IF(COUNTA('Project tracker'!$I22,'Project tracker'!$J22)&lt;&gt;2,"",DAYS360('Project tracker'!$I22,'Project tracker'!$J22,FALSE))</f>
        <v/>
      </c>
      <c r="M22" s="27"/>
    </row>
    <row r="23" spans="2:13" ht="30" customHeight="1" x14ac:dyDescent="0.25">
      <c r="B23" s="27"/>
      <c r="C23" s="27"/>
      <c r="D23" s="27"/>
      <c r="E23" s="28"/>
      <c r="F23" s="28"/>
      <c r="G23" s="27"/>
      <c r="H23" s="22" t="str">
        <f>IF(COUNTA('Project tracker'!$E23,'Project tracker'!$F23)&lt;&gt;2,"",DAYS360('Project tracker'!$E23,'Project tracker'!$F23,FALSE))</f>
        <v/>
      </c>
      <c r="I23" s="28"/>
      <c r="J23" s="28"/>
      <c r="K23" s="27"/>
      <c r="L23" s="22" t="str">
        <f>IF(COUNTA('Project tracker'!$I23,'Project tracker'!$J23)&lt;&gt;2,"",DAYS360('Project tracker'!$I23,'Project tracker'!$J23,FALSE))</f>
        <v/>
      </c>
      <c r="M23" s="27"/>
    </row>
    <row r="24" spans="2:13" ht="30" customHeight="1" x14ac:dyDescent="0.25">
      <c r="B24" s="27"/>
      <c r="C24" s="27"/>
      <c r="D24" s="27"/>
      <c r="E24" s="28"/>
      <c r="F24" s="28"/>
      <c r="G24" s="27"/>
      <c r="H24" s="22" t="str">
        <f>IF(COUNTA('Project tracker'!$E24,'Project tracker'!$F24)&lt;&gt;2,"",DAYS360('Project tracker'!$E24,'Project tracker'!$F24,FALSE))</f>
        <v/>
      </c>
      <c r="I24" s="28"/>
      <c r="J24" s="28"/>
      <c r="K24" s="27"/>
      <c r="L24" s="22" t="str">
        <f>IF(COUNTA('Project tracker'!$I24,'Project tracker'!$J24)&lt;&gt;2,"",DAYS360('Project tracker'!$I24,'Project tracker'!$J24,FALSE))</f>
        <v/>
      </c>
      <c r="M24" s="27"/>
    </row>
    <row r="25" spans="2:13" ht="30" customHeight="1" x14ac:dyDescent="0.25">
      <c r="B25" s="27"/>
      <c r="C25" s="27"/>
      <c r="D25" s="27"/>
      <c r="E25" s="28"/>
      <c r="F25" s="28"/>
      <c r="G25" s="27"/>
      <c r="H25" s="22" t="str">
        <f>IF(COUNTA('Project tracker'!$E25,'Project tracker'!$F25)&lt;&gt;2,"",DAYS360('Project tracker'!$E25,'Project tracker'!$F25,FALSE))</f>
        <v/>
      </c>
      <c r="I25" s="28"/>
      <c r="J25" s="28"/>
      <c r="K25" s="27"/>
      <c r="L25" s="22" t="str">
        <f>IF(COUNTA('Project tracker'!$I25,'Project tracker'!$J25)&lt;&gt;2,"",DAYS360('Project tracker'!$I25,'Project tracker'!$J25,FALSE))</f>
        <v/>
      </c>
      <c r="M25" s="27"/>
    </row>
    <row r="26" spans="2:13" ht="30" customHeight="1" x14ac:dyDescent="0.25">
      <c r="B26" s="27"/>
      <c r="C26" s="27"/>
      <c r="D26" s="27"/>
      <c r="E26" s="28"/>
      <c r="F26" s="28"/>
      <c r="G26" s="27"/>
      <c r="H26" s="22" t="str">
        <f>IF(COUNTA('Project tracker'!$E26,'Project tracker'!$F26)&lt;&gt;2,"",DAYS360('Project tracker'!$E26,'Project tracker'!$F26,FALSE))</f>
        <v/>
      </c>
      <c r="I26" s="28"/>
      <c r="J26" s="28"/>
      <c r="K26" s="27"/>
      <c r="L26" s="22" t="str">
        <f>IF(COUNTA('Project tracker'!$I26,'Project tracker'!$J26)&lt;&gt;2,"",DAYS360('Project tracker'!$I26,'Project tracker'!$J26,FALSE))</f>
        <v/>
      </c>
      <c r="M26" s="27"/>
    </row>
    <row r="27" spans="2:13" ht="30" customHeight="1" x14ac:dyDescent="0.25">
      <c r="B27" s="27"/>
      <c r="C27" s="27"/>
      <c r="D27" s="27"/>
      <c r="E27" s="28"/>
      <c r="F27" s="28"/>
      <c r="G27" s="27"/>
      <c r="H27" s="22" t="str">
        <f>IF(COUNTA('Project tracker'!$E27,'Project tracker'!$F27)&lt;&gt;2,"",DAYS360('Project tracker'!$E27,'Project tracker'!$F27,FALSE))</f>
        <v/>
      </c>
      <c r="I27" s="28"/>
      <c r="J27" s="28"/>
      <c r="K27" s="27"/>
      <c r="L27" s="22" t="str">
        <f>IF(COUNTA('Project tracker'!$I27,'Project tracker'!$J27)&lt;&gt;2,"",DAYS360('Project tracker'!$I27,'Project tracker'!$J27,FALSE))</f>
        <v/>
      </c>
      <c r="M27" s="27"/>
    </row>
    <row r="28" spans="2:13" ht="30" customHeight="1" x14ac:dyDescent="0.25">
      <c r="B28" s="27"/>
      <c r="C28" s="27"/>
      <c r="D28" s="27"/>
      <c r="E28" s="28"/>
      <c r="F28" s="28"/>
      <c r="G28" s="27"/>
      <c r="H28" s="22" t="str">
        <f>IF(COUNTA('Project tracker'!$E28,'Project tracker'!$F28)&lt;&gt;2,"",DAYS360('Project tracker'!$E28,'Project tracker'!$F28,FALSE))</f>
        <v/>
      </c>
      <c r="I28" s="28"/>
      <c r="J28" s="28"/>
      <c r="K28" s="27"/>
      <c r="L28" s="22" t="str">
        <f>IF(COUNTA('Project tracker'!$I28,'Project tracker'!$J28)&lt;&gt;2,"",DAYS360('Project tracker'!$I28,'Project tracker'!$J28,FALSE))</f>
        <v/>
      </c>
      <c r="M28" s="27"/>
    </row>
    <row r="29" spans="2:13" ht="30" customHeight="1" x14ac:dyDescent="0.25">
      <c r="B29" s="27"/>
      <c r="C29" s="27"/>
      <c r="D29" s="27"/>
      <c r="E29" s="28"/>
      <c r="F29" s="28"/>
      <c r="G29" s="27"/>
      <c r="H29" s="22" t="str">
        <f>IF(COUNTA('Project tracker'!$E29,'Project tracker'!$F29)&lt;&gt;2,"",DAYS360('Project tracker'!$E29,'Project tracker'!$F29,FALSE))</f>
        <v/>
      </c>
      <c r="I29" s="28"/>
      <c r="J29" s="28"/>
      <c r="K29" s="27"/>
      <c r="L29" s="22" t="str">
        <f>IF(COUNTA('Project tracker'!$I29,'Project tracker'!$J29)&lt;&gt;2,"",DAYS360('Project tracker'!$I29,'Project tracker'!$J29,FALSE))</f>
        <v/>
      </c>
      <c r="M29" s="27"/>
    </row>
    <row r="30" spans="2:13" ht="30" customHeight="1" x14ac:dyDescent="0.25">
      <c r="B30" s="27"/>
      <c r="C30" s="27"/>
      <c r="D30" s="27"/>
      <c r="E30" s="28"/>
      <c r="F30" s="28"/>
      <c r="G30" s="27"/>
      <c r="H30" s="22" t="str">
        <f>IF(COUNTA('Project tracker'!$E30,'Project tracker'!$F30)&lt;&gt;2,"",DAYS360('Project tracker'!$E30,'Project tracker'!$F30,FALSE))</f>
        <v/>
      </c>
      <c r="I30" s="28"/>
      <c r="J30" s="28"/>
      <c r="K30" s="27"/>
      <c r="L30" s="22" t="str">
        <f>IF(COUNTA('Project tracker'!$I30,'Project tracker'!$J30)&lt;&gt;2,"",DAYS360('Project tracker'!$I30,'Project tracker'!$J30,FALSE))</f>
        <v/>
      </c>
      <c r="M30" s="27"/>
    </row>
    <row r="31" spans="2:13" ht="30" customHeight="1" x14ac:dyDescent="0.25">
      <c r="B31" s="27"/>
      <c r="C31" s="27"/>
      <c r="D31" s="27"/>
      <c r="E31" s="28"/>
      <c r="F31" s="28"/>
      <c r="G31" s="27"/>
      <c r="H31" s="22" t="str">
        <f>IF(COUNTA('Project tracker'!$E31,'Project tracker'!$F31)&lt;&gt;2,"",DAYS360('Project tracker'!$E31,'Project tracker'!$F31,FALSE))</f>
        <v/>
      </c>
      <c r="I31" s="28"/>
      <c r="J31" s="28"/>
      <c r="K31" s="27"/>
      <c r="L31" s="22" t="str">
        <f>IF(COUNTA('Project tracker'!$I31,'Project tracker'!$J31)&lt;&gt;2,"",DAYS360('Project tracker'!$I31,'Project tracker'!$J31,FALSE))</f>
        <v/>
      </c>
      <c r="M31" s="27"/>
    </row>
    <row r="32" spans="2:13" ht="30" customHeight="1" x14ac:dyDescent="0.25">
      <c r="B32" s="27"/>
      <c r="C32" s="27"/>
      <c r="D32" s="27"/>
      <c r="E32" s="28"/>
      <c r="F32" s="28"/>
      <c r="G32" s="27"/>
      <c r="H32" s="22" t="str">
        <f>IF(COUNTA('Project tracker'!$E32,'Project tracker'!$F32)&lt;&gt;2,"",DAYS360('Project tracker'!$E32,'Project tracker'!$F32,FALSE))</f>
        <v/>
      </c>
      <c r="I32" s="28"/>
      <c r="J32" s="28"/>
      <c r="K32" s="27"/>
      <c r="L32" s="22" t="str">
        <f>IF(COUNTA('Project tracker'!$I32,'Project tracker'!$J32)&lt;&gt;2,"",DAYS360('Project tracker'!$I32,'Project tracker'!$J32,FALSE))</f>
        <v/>
      </c>
      <c r="M32" s="27"/>
    </row>
    <row r="33" spans="2:13" ht="30" customHeight="1" x14ac:dyDescent="0.25">
      <c r="B33" s="27"/>
      <c r="C33" s="27"/>
      <c r="D33" s="27"/>
      <c r="E33" s="28"/>
      <c r="F33" s="28"/>
      <c r="G33" s="27"/>
      <c r="H33" s="22" t="str">
        <f>IF(COUNTA('Project tracker'!$E33,'Project tracker'!$F33)&lt;&gt;2,"",DAYS360('Project tracker'!$E33,'Project tracker'!$F33,FALSE))</f>
        <v/>
      </c>
      <c r="I33" s="28"/>
      <c r="J33" s="28"/>
      <c r="K33" s="27"/>
      <c r="L33" s="22" t="str">
        <f>IF(COUNTA('Project tracker'!$I33,'Project tracker'!$J33)&lt;&gt;2,"",DAYS360('Project tracker'!$I33,'Project tracker'!$J33,FALSE))</f>
        <v/>
      </c>
      <c r="M33" s="27"/>
    </row>
    <row r="34" spans="2:13" ht="30" customHeight="1" x14ac:dyDescent="0.25">
      <c r="B34" s="27"/>
      <c r="C34" s="27"/>
      <c r="D34" s="27"/>
      <c r="E34" s="28"/>
      <c r="F34" s="28"/>
      <c r="G34" s="27"/>
      <c r="H34" s="22" t="str">
        <f>IF(COUNTA('Project tracker'!$E34,'Project tracker'!$F34)&lt;&gt;2,"",DAYS360('Project tracker'!$E34,'Project tracker'!$F34,FALSE))</f>
        <v/>
      </c>
      <c r="I34" s="28"/>
      <c r="J34" s="28"/>
      <c r="K34" s="27"/>
      <c r="L34" s="22" t="str">
        <f>IF(COUNTA('Project tracker'!$I34,'Project tracker'!$J34)&lt;&gt;2,"",DAYS360('Project tracker'!$I34,'Project tracker'!$J34,FALSE))</f>
        <v/>
      </c>
      <c r="M34" s="27"/>
    </row>
    <row r="35" spans="2:13" ht="30" customHeight="1" x14ac:dyDescent="0.25">
      <c r="B35" s="27"/>
      <c r="C35" s="27"/>
      <c r="D35" s="27"/>
      <c r="E35" s="28"/>
      <c r="F35" s="28"/>
      <c r="G35" s="27"/>
      <c r="H35" s="22" t="str">
        <f>IF(COUNTA('Project tracker'!$E35,'Project tracker'!$F35)&lt;&gt;2,"",DAYS360('Project tracker'!$E35,'Project tracker'!$F35,FALSE))</f>
        <v/>
      </c>
      <c r="I35" s="28"/>
      <c r="J35" s="28"/>
      <c r="K35" s="27"/>
      <c r="L35" s="22" t="str">
        <f>IF(COUNTA('Project tracker'!$I35,'Project tracker'!$J35)&lt;&gt;2,"",DAYS360('Project tracker'!$I35,'Project tracker'!$J35,FALSE))</f>
        <v/>
      </c>
      <c r="M35" s="27"/>
    </row>
    <row r="36" spans="2:13" ht="30" customHeight="1" x14ac:dyDescent="0.25">
      <c r="B36" s="27"/>
      <c r="C36" s="27"/>
      <c r="D36" s="27"/>
      <c r="E36" s="28"/>
      <c r="F36" s="28"/>
      <c r="G36" s="27"/>
      <c r="H36" s="22" t="str">
        <f>IF(COUNTA('Project tracker'!$E36,'Project tracker'!$F36)&lt;&gt;2,"",DAYS360('Project tracker'!$E36,'Project tracker'!$F36,FALSE))</f>
        <v/>
      </c>
      <c r="I36" s="28"/>
      <c r="J36" s="28"/>
      <c r="K36" s="27"/>
      <c r="L36" s="22" t="str">
        <f>IF(COUNTA('Project tracker'!$I36,'Project tracker'!$J36)&lt;&gt;2,"",DAYS360('Project tracker'!$I36,'Project tracker'!$J36,FALSE))</f>
        <v/>
      </c>
      <c r="M36" s="27"/>
    </row>
    <row r="37" spans="2:13" ht="30" customHeight="1" x14ac:dyDescent="0.25">
      <c r="B37" s="27"/>
      <c r="C37" s="27"/>
      <c r="D37" s="27"/>
      <c r="E37" s="28"/>
      <c r="F37" s="28"/>
      <c r="G37" s="27"/>
      <c r="H37" s="22" t="str">
        <f>IF(COUNTA('Project tracker'!$E37,'Project tracker'!$F37)&lt;&gt;2,"",DAYS360('Project tracker'!$E37,'Project tracker'!$F37,FALSE))</f>
        <v/>
      </c>
      <c r="I37" s="28"/>
      <c r="J37" s="28"/>
      <c r="K37" s="27"/>
      <c r="L37" s="22" t="str">
        <f>IF(COUNTA('Project tracker'!$I37,'Project tracker'!$J37)&lt;&gt;2,"",DAYS360('Project tracker'!$I37,'Project tracker'!$J37,FALSE))</f>
        <v/>
      </c>
      <c r="M37" s="27"/>
    </row>
    <row r="38" spans="2:13" ht="30" customHeight="1" x14ac:dyDescent="0.25">
      <c r="B38" s="27"/>
      <c r="C38" s="27"/>
      <c r="D38" s="27"/>
      <c r="E38" s="28"/>
      <c r="F38" s="28"/>
      <c r="G38" s="27"/>
      <c r="H38" s="22" t="str">
        <f>IF(COUNTA('Project tracker'!$E38,'Project tracker'!$F38)&lt;&gt;2,"",DAYS360('Project tracker'!$E38,'Project tracker'!$F38,FALSE))</f>
        <v/>
      </c>
      <c r="I38" s="28"/>
      <c r="J38" s="28"/>
      <c r="K38" s="27"/>
      <c r="L38" s="22" t="str">
        <f>IF(COUNTA('Project tracker'!$I38,'Project tracker'!$J38)&lt;&gt;2,"",DAYS360('Project tracker'!$I38,'Project tracker'!$J38,FALSE))</f>
        <v/>
      </c>
      <c r="M38" s="27"/>
    </row>
    <row r="39" spans="2:13" ht="30" customHeight="1" x14ac:dyDescent="0.25">
      <c r="B39" s="27"/>
      <c r="C39" s="27"/>
      <c r="D39" s="27"/>
      <c r="E39" s="28"/>
      <c r="F39" s="28"/>
      <c r="G39" s="27"/>
      <c r="H39" s="22" t="str">
        <f>IF(COUNTA('Project tracker'!$E39,'Project tracker'!$F39)&lt;&gt;2,"",DAYS360('Project tracker'!$E39,'Project tracker'!$F39,FALSE))</f>
        <v/>
      </c>
      <c r="I39" s="28"/>
      <c r="J39" s="28"/>
      <c r="K39" s="27"/>
      <c r="L39" s="22" t="str">
        <f>IF(COUNTA('Project tracker'!$I39,'Project tracker'!$J39)&lt;&gt;2,"",DAYS360('Project tracker'!$I39,'Project tracker'!$J39,FALSE))</f>
        <v/>
      </c>
      <c r="M39" s="27"/>
    </row>
  </sheetData>
  <conditionalFormatting sqref="K5:K39">
    <cfRule type="expression" dxfId="1" priority="1">
      <formula>(ABS((K5-G5))/G5)&gt;FlagPercent</formula>
    </cfRule>
  </conditionalFormatting>
  <conditionalFormatting sqref="L5:L39">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39" xr:uid="{00000000-0002-0000-0000-000002000000}">
      <formula1>CategoryList</formula1>
    </dataValidation>
    <dataValidation type="list" allowBlank="1" showInputMessage="1" showErrorMessage="1" error="Select an employee from the list or create a new employee to display in this list from the Setup worksheet." sqref="D5:D39"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topLeftCell="A2" zoomScaleNormal="100" workbookViewId="0">
      <selection activeCell="D8" sqref="D8"/>
    </sheetView>
  </sheetViews>
  <sheetFormatPr defaultColWidth="9" defaultRowHeight="30" customHeight="1" x14ac:dyDescent="0.25"/>
  <cols>
    <col min="1" max="1" width="6.7265625" style="13" customWidth="1"/>
    <col min="2" max="3" width="18.453125" style="24" customWidth="1"/>
    <col min="4" max="4" width="6.7265625" style="14" customWidth="1"/>
    <col min="5" max="16384" width="9" style="1"/>
  </cols>
  <sheetData>
    <row r="1" spans="1:4" customFormat="1" ht="30" customHeight="1" x14ac:dyDescent="0.25">
      <c r="A1" s="13"/>
      <c r="B1" s="13"/>
      <c r="C1" s="13"/>
      <c r="D1" s="13"/>
    </row>
    <row r="2" spans="1:4" customFormat="1" ht="79.95" customHeight="1" x14ac:dyDescent="0.25">
      <c r="A2" s="13"/>
      <c r="B2" s="17" t="s">
        <v>30</v>
      </c>
      <c r="C2" s="14"/>
      <c r="D2" s="14"/>
    </row>
    <row r="3" spans="1:4" customFormat="1" ht="30" customHeight="1" x14ac:dyDescent="0.25">
      <c r="A3" s="13"/>
      <c r="B3" s="14"/>
      <c r="C3" s="14"/>
      <c r="D3" s="14"/>
    </row>
    <row r="4" spans="1:4" customFormat="1" ht="61.95" customHeight="1" x14ac:dyDescent="0.25">
      <c r="A4" s="15"/>
      <c r="B4" s="23" t="s">
        <v>31</v>
      </c>
      <c r="C4" s="23" t="s">
        <v>32</v>
      </c>
      <c r="D4" s="16"/>
    </row>
    <row r="5" spans="1:4" customFormat="1" ht="34.049999999999997" customHeight="1" x14ac:dyDescent="0.25">
      <c r="A5" s="13"/>
      <c r="B5" s="23" t="s">
        <v>15</v>
      </c>
      <c r="C5" s="23" t="s">
        <v>33</v>
      </c>
      <c r="D5" s="14"/>
    </row>
    <row r="6" spans="1:4" customFormat="1" ht="34.049999999999997" customHeight="1" x14ac:dyDescent="0.25">
      <c r="A6" s="13"/>
      <c r="B6" s="23" t="s">
        <v>23</v>
      </c>
      <c r="C6" s="23" t="s">
        <v>34</v>
      </c>
      <c r="D6" s="14"/>
    </row>
    <row r="7" spans="1:4" customFormat="1" ht="34.049999999999997" customHeight="1" x14ac:dyDescent="0.25">
      <c r="A7" s="13"/>
      <c r="B7" s="23"/>
      <c r="C7" s="23" t="s">
        <v>35</v>
      </c>
      <c r="D7" s="14"/>
    </row>
    <row r="8" spans="1:4" customFormat="1" ht="34.049999999999997" customHeight="1" x14ac:dyDescent="0.25">
      <c r="A8" s="13"/>
      <c r="B8" s="23"/>
      <c r="C8" s="23" t="s">
        <v>36</v>
      </c>
      <c r="D8" s="14"/>
    </row>
    <row r="9" spans="1:4" customFormat="1" ht="34.049999999999997" customHeight="1" x14ac:dyDescent="0.25">
      <c r="A9" s="13"/>
      <c r="B9" s="23"/>
      <c r="C9" s="23" t="s">
        <v>37</v>
      </c>
      <c r="D9" s="14"/>
    </row>
    <row r="10" spans="1:4" customFormat="1" ht="34.049999999999997" customHeight="1" x14ac:dyDescent="0.25">
      <c r="A10" s="13"/>
      <c r="B10" s="24"/>
      <c r="C10" s="24"/>
      <c r="D10" s="14"/>
    </row>
    <row r="11" spans="1:4" customFormat="1" ht="30" customHeight="1" x14ac:dyDescent="0.25">
      <c r="A11" s="13"/>
      <c r="B11" s="24"/>
      <c r="C11" s="24"/>
      <c r="D11" s="14"/>
    </row>
  </sheetData>
  <phoneticPr fontId="21"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 tracker</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2024-11-05T00:02:31Z</dcterms:created>
  <dcterms:modified xsi:type="dcterms:W3CDTF">2024-11-14T08:07:55Z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