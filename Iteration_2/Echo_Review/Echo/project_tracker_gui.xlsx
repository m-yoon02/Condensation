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13_ncr:1_{A523674B-FEC9-41FF-8AFB-D3A1D435E527}" xr6:coauthVersionLast="47" xr6:coauthVersionMax="47" xr10:uidLastSave="{00000000-0000-0000-0000-000000000000}"/>
  <bookViews>
    <workbookView xWindow="-108" yWindow="-108" windowWidth="23256" windowHeight="12456" xr2:uid="{00000000-000D-0000-FFFF-FFFF00000000}"/>
  </bookViews>
  <sheets>
    <sheet name="Project tracker" sheetId="1" r:id="rId1"/>
    <sheet name="Task Lookup" sheetId="3" r:id="rId2"/>
    <sheet name="Setup" sheetId="2" r:id="rId3"/>
  </sheets>
  <definedNames>
    <definedName name="CategoryList">Setup!$B$5:$B$10</definedName>
    <definedName name="EmployeeList">Setup!$C$5:$C$10</definedName>
    <definedName name="FlagPercent">'Project tracker'!$G$2</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F5" i="1"/>
  <c r="J7" i="1"/>
  <c r="I7" i="1"/>
  <c r="J8" i="1"/>
  <c r="I8" i="1"/>
  <c r="E8" i="1"/>
  <c r="J9" i="1"/>
  <c r="F9" i="1"/>
  <c r="I9" i="1"/>
  <c r="J10" i="1"/>
  <c r="F10" i="1"/>
  <c r="I10" i="1"/>
  <c r="E10" i="1"/>
  <c r="J6" i="1"/>
  <c r="F6" i="1"/>
  <c r="I6" i="1"/>
  <c r="I5" i="1"/>
  <c r="E9" i="1"/>
  <c r="F8" i="1"/>
  <c r="F7" i="1"/>
  <c r="E7" i="1"/>
  <c r="E5" i="1"/>
  <c r="E6" i="1"/>
  <c r="H12" i="1"/>
  <c r="L12" i="1"/>
  <c r="H11" i="1"/>
  <c r="L11" i="1"/>
  <c r="H5" i="1" l="1"/>
  <c r="H10" i="1" l="1"/>
  <c r="L7" i="1"/>
  <c r="H8" i="1"/>
  <c r="H9" i="1"/>
  <c r="H6" i="1"/>
  <c r="H7" i="1"/>
  <c r="L5" i="1"/>
  <c r="L8" i="1"/>
  <c r="L6" i="1"/>
  <c r="L9" i="1"/>
  <c r="L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tc={787986D8-1FDC-469D-A088-8C0F63DA9C53}</author>
    <author>tc={AE9EA276-0B44-4276-A3F9-7772F2345B51}</author>
    <author>tc={ED8FB9F1-6DAA-4E83-86C1-DB279CE5868C}</author>
    <author>tc={556FE37B-62A8-443B-B67B-433C0E7A5AB4}</author>
    <author>tc={2BA0C9CA-C6B8-4B33-9AAD-493E02C58D14}</author>
    <author>tc={97438B52-7420-4EFC-976B-B339DA82ACC9}</author>
  </authors>
  <commentList>
    <comment ref="D5" authorId="0" shapeId="0" xr:uid="{787986D8-1FDC-469D-A088-8C0F63DA9C53}">
      <text>
        <t>[Threaded comment]
Your version of Excel allows you to read this threaded comment; however, any edits to it will get removed if the file is opened in a newer version of Excel. Learn more: https://go.microsoft.com/fwlink/?linkid=870924
Comment:
    Assigning all the planning to one student/group and all the coding to another is not a great idea because there won’t be someone with a great understanding of the plan working on and overlooking the coding process who can ensure that it accurately follows the initial plan. i.e there won’t be great communication and coordination between the coding and planning sides of the project, hence greater chance for errors, problems, and poorly structured code later on</t>
      </text>
    </comment>
    <comment ref="M5" authorId="1" shapeId="0" xr:uid="{AE9EA276-0B44-4276-A3F9-7772F2345B51}">
      <text>
        <t>[Threaded comment]
Your version of Excel allows you to read this threaded comment; however, any edits to it will get removed if the file is opened in a newer version of Excel. Learn more: https://go.microsoft.com/fwlink/?linkid=870924
Comment:
    Student 6 could add a bit of detail to the task notes, better describing the work they did. Ex what use case description did they finish, what did they add to the diagrams to finish them, what classes/functions are the descriptions and diagrams for, etc</t>
      </text>
    </comment>
    <comment ref="H6" authorId="2" shapeId="0" xr:uid="{ED8FB9F1-6DAA-4E83-86C1-DB279CE5868C}">
      <text>
        <t>[Threaded comment]
Your version of Excel allows you to read this threaded comment; however, any edits to it will get removed if the file is opened in a newer version of Excel. Learn more: https://go.microsoft.com/fwlink/?linkid=870924
Comment:
    The estimated duration in days and hours for tasks 2-6 suggest that they are rather large and would probably be able to be split among multiple individuals rather than just Student 5 and 6. i.e It would’ve been a good idea to split these tasks among more people</t>
      </text>
    </comment>
    <comment ref="K7" authorId="3" shapeId="0" xr:uid="{556FE37B-62A8-443B-B67B-433C0E7A5AB4}">
      <text>
        <t>[Threaded comment]
Your version of Excel allows you to read this threaded comment; however, any edits to it will get removed if the file is opened in a newer version of Excel. Learn more: https://go.microsoft.com/fwlink/?linkid=870924
Comment:
    Certain tasks get finished within 1-4 hours of work but is spread out between several weeks. This is very strange, and the students who did these tasks should clarify the low work hours compared to long duration in days. It could be caused by other matters delaying the task’s completion, omitting work time from the actual work hours (for whatever reason), or a sign of bad work ethic/inefficient work. In summary, clarification regarding this strange work duration should be provided</t>
      </text>
    </comment>
    <comment ref="B8" authorId="4" shapeId="0" xr:uid="{2BA0C9CA-C6B8-4B33-9AAD-493E02C58D14}">
      <text>
        <t>[Threaded comment]
Your version of Excel allows you to read this threaded comment; however, any edits to it will get removed if the file is opened in a newer version of Excel. Learn more: https://go.microsoft.com/fwlink/?linkid=870924
Comment:
    Student 5’s tasks don’t really reflect the work described on the task notes. It would be better to separate the unrelated work and list it as a separate task for better documentation, and mention the work related most to the task in the notes</t>
      </text>
    </comment>
    <comment ref="M9" authorId="5" shapeId="0" xr:uid="{97438B52-7420-4EFC-976B-B339DA82ACC9}">
      <text>
        <t>[Threaded comment]
Your version of Excel allows you to read this threaded comment; however, any edits to it will get removed if the file is opened in a newer version of Excel. Learn more: https://go.microsoft.com/fwlink/?linkid=870924
Comment:
    Student 5’s task notes imply that they did not finish the tasks and are actively working on them. Either change the wording, or don’t list them as completed.</t>
      </text>
    </comment>
  </commentList>
</comments>
</file>

<file path=xl/sharedStrings.xml><?xml version="1.0" encoding="utf-8"?>
<sst xmlns="http://schemas.openxmlformats.org/spreadsheetml/2006/main" count="60" uniqueCount="49">
  <si>
    <t>Category</t>
  </si>
  <si>
    <t>Notes</t>
  </si>
  <si>
    <t>Category 4</t>
  </si>
  <si>
    <t>Category 5</t>
  </si>
  <si>
    <t>Setup</t>
  </si>
  <si>
    <t>Category Name</t>
  </si>
  <si>
    <t>Employee Name</t>
  </si>
  <si>
    <t>Category 6</t>
  </si>
  <si>
    <t>Assigned to</t>
  </si>
  <si>
    <t>Estimated work (in hours)</t>
  </si>
  <si>
    <t>Estimated finish</t>
  </si>
  <si>
    <t>Actual start</t>
  </si>
  <si>
    <t>Actual finish</t>
  </si>
  <si>
    <t>Actual duration (in days)</t>
  </si>
  <si>
    <t>Actual work 
(in hours)</t>
  </si>
  <si>
    <t>Estimated start</t>
  </si>
  <si>
    <t>Percent over/under to highlighted numbers</t>
  </si>
  <si>
    <t>Estimated duration
(in days)</t>
  </si>
  <si>
    <t>Task</t>
  </si>
  <si>
    <t>Task 1</t>
  </si>
  <si>
    <t>Task 2</t>
  </si>
  <si>
    <t>Task 3</t>
  </si>
  <si>
    <t>Project Task Tracker</t>
  </si>
  <si>
    <t>Student 5</t>
  </si>
  <si>
    <t>Student 6</t>
  </si>
  <si>
    <t>Task Number</t>
  </si>
  <si>
    <t>Task Name</t>
  </si>
  <si>
    <t>Task Description</t>
  </si>
  <si>
    <t>class structure diagram</t>
  </si>
  <si>
    <t>planning</t>
  </si>
  <si>
    <t>coding</t>
  </si>
  <si>
    <t>scoreboard implemented for all games</t>
  </si>
  <si>
    <t xml:space="preserve">chatbox and arena </t>
  </si>
  <si>
    <t>design</t>
  </si>
  <si>
    <t>Finished use case description</t>
  </si>
  <si>
    <t>Finshed use case diagram</t>
  </si>
  <si>
    <t>Finished class structure diagram</t>
  </si>
  <si>
    <t>Finished a sample of the login page</t>
  </si>
  <si>
    <t>Working on logo creation for the game</t>
  </si>
  <si>
    <t>Working on linking login page together and testing</t>
  </si>
  <si>
    <t>student 1</t>
  </si>
  <si>
    <t>student 2</t>
  </si>
  <si>
    <t>student 3</t>
  </si>
  <si>
    <t>student 4</t>
  </si>
  <si>
    <t>student 5</t>
  </si>
  <si>
    <t>usecase diagram &amp; description</t>
  </si>
  <si>
    <t>gui screen containing login, reg, home page</t>
  </si>
  <si>
    <t>GUI character and board designs</t>
  </si>
  <si>
    <t>making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</si>
</sst>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Over/Under flag&quot;;&quot;&quot;;&quot;&quot;"/>
    <numFmt numFmtId="165" formatCode="m/d/yyyy"/>
  </numFmts>
  <fonts count="23"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
      <sz val="48"/>
      <color theme="9" tint="-0.499984740745262"/>
      <name val="Calibri"/>
      <family val="2"/>
    </font>
    <font>
      <sz val="9"/>
      <color indexed="81"/>
      <name val="Tahoma"/>
      <charset val="1"/>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30">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xf numFmtId="0" fontId="21" fillId="4" borderId="0" xfId="9" applyFont="1" applyFill="1" applyAlignment="1">
      <alignment vertical="center"/>
    </xf>
    <xf numFmtId="0" fontId="19" fillId="0" borderId="0" xfId="0" applyFont="1">
      <alignment vertical="center"/>
    </xf>
    <xf numFmtId="0" fontId="12" fillId="4" borderId="0" xfId="0" applyFont="1" applyFill="1" applyAlignment="1">
      <alignment horizontal="left" vertical="center" indent="2"/>
    </xf>
    <xf numFmtId="165" fontId="20" fillId="4" borderId="0" xfId="8" applyNumberFormat="1" applyFont="1" applyFill="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7">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65"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TableStyleMedium2" defaultPivotStyle="PivotStyleLight16">
    <tableStyle name="Custom Table Style" pivot="0" count="2" xr9:uid="{00000000-0011-0000-FFFF-FFFF00000000}">
      <tableStyleElement type="wholeTable" dxfId="26"/>
      <tableStyleElement type="headerRow" dxfId="25"/>
    </tableStyle>
    <tableStyle name="Custom Table Style 2" pivot="0" count="2" xr9:uid="{FFDA21C0-6F5D-4BB1-A228-A4BC4D9DA682}">
      <tableStyleElement type="wholeTable" dxfId="24"/>
      <tableStyleElement type="headerRow" dxfId="23"/>
    </tableStyle>
    <tableStyle name="Table Style 1" pivot="0" count="3" xr9:uid="{5F9F0DBC-1B06-494D-8D4F-D10423CEAFF4}">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M12" totalsRowShown="0" headerRowDxfId="19" dataDxfId="18">
  <autoFilter ref="B4:M1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Task" dataDxfId="17"/>
    <tableColumn id="2" xr3:uid="{00000000-0010-0000-0000-000002000000}" name="Category"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tracker'!$E5,'Project tracker'!$F5)&lt;&gt;2,"",DAYS360('Project tracker'!$E5,'Project tracker'!$F5,FALSE))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tracker'!$I5,'Project tracker'!$J5)&lt;&gt;2,"",DAYS360('Project tracker'!$I5,'Project tracker'!$J5,FALSE))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10" totalsRowShown="0" headerRowDxfId="5" dataDxfId="4">
  <autoFilter ref="B4:C10"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4-11-12T23:50:26.37" personId="{00000000-0000-0000-0000-000000000000}" id="{787986D8-1FDC-469D-A088-8C0F63DA9C53}">
    <text>Assigning all the planning to one student/group and all the coding to another is not a great idea because there won’t be someone with a great understanding of the plan working on and overlooking the coding process who can ensure that it accurately follows the initial plan. i.e there won’t be great communication and coordination between the coding and planning sides of the project, hence greater chance for errors, problems, and poorly structured code later on</text>
  </threadedComment>
  <threadedComment ref="M5" dT="2024-11-13T04:01:32.97" personId="{00000000-0000-0000-0000-000000000000}" id="{AE9EA276-0B44-4276-A3F9-7772F2345B51}">
    <text>Student 6 could add a bit of detail to the task notes, better describing the work they did. Ex what use case description did they finish, what did they add to the diagrams to finish them, what classes/functions are the descriptions and diagrams for, etc</text>
  </threadedComment>
  <threadedComment ref="H6" dT="2024-11-13T01:47:36.32" personId="{00000000-0000-0000-0000-000000000000}" id="{ED8FB9F1-6DAA-4E83-86C1-DB279CE5868C}">
    <text>The estimated duration in days and hours for tasks 2-6 suggest that they are rather large and would probably be able to be split among multiple individuals rather than just Student 5 and 6. i.e It would’ve been a good idea to split these tasks among more people</text>
  </threadedComment>
  <threadedComment ref="K7" dT="2024-11-12T23:58:51.82" personId="{00000000-0000-0000-0000-000000000000}" id="{556FE37B-62A8-443B-B67B-433C0E7A5AB4}">
    <text>Certain tasks get finished within 1-4 hours of work but is spread out between several weeks. This is very strange, and the students who did these tasks should clarify the low work hours compared to long duration in days. It could be caused by other matters delaying the task’s completion, omitting work time from the actual work hours (for whatever reason), or a sign of bad work ethic/inefficient work. In summary, clarification regarding this strange work duration should be provided</text>
  </threadedComment>
  <threadedComment ref="B8" dT="2024-11-14T03:11:18.47" personId="{00000000-0000-0000-0000-000000000000}" id="{2BA0C9CA-C6B8-4B33-9AAD-493E02C58D14}">
    <text>Student 5’s tasks don’t really reflect the work described on the task notes. It would be better to separate the unrelated work and list it as a separate task for better documentation, and mention the work related most to the task in the notes</text>
  </threadedComment>
  <threadedComment ref="M9" dT="2024-11-13T04:03:22.75" personId="{00000000-0000-0000-0000-000000000000}" id="{97438B52-7420-4EFC-976B-B339DA82ACC9}">
    <text>Student 5’s task notes imply that they did not finish the tasks and are actively working on them. Either change the wording, or don’t list them as completed.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12"/>
  <sheetViews>
    <sheetView showGridLines="0" tabSelected="1" topLeftCell="D1" zoomScale="60" zoomScaleNormal="60" workbookViewId="0">
      <selection activeCell="D6" sqref="D6"/>
    </sheetView>
  </sheetViews>
  <sheetFormatPr defaultColWidth="9.08984375" defaultRowHeight="30" customHeight="1" x14ac:dyDescent="0.25"/>
  <cols>
    <col min="1" max="1" width="6.7265625" style="3" customWidth="1"/>
    <col min="2" max="4" width="18.7265625" style="19" customWidth="1"/>
    <col min="5" max="6" width="18.7265625" style="20" customWidth="1"/>
    <col min="7" max="8" width="18.7265625" style="19" customWidth="1"/>
    <col min="9" max="10" width="16.81640625" style="20" customWidth="1"/>
    <col min="11" max="12" width="16" style="19" customWidth="1"/>
    <col min="13" max="13" width="20.36328125" style="19" customWidth="1"/>
    <col min="14" max="14" width="6.7265625" style="3" customWidth="1"/>
    <col min="15" max="15" width="4.1796875" style="2" customWidth="1"/>
    <col min="16" max="40" width="3.26953125" style="2" customWidth="1"/>
    <col min="41" max="16384" width="9.08984375" style="2"/>
  </cols>
  <sheetData>
    <row r="1" spans="1:14" s="5" customFormat="1" ht="30" customHeight="1" x14ac:dyDescent="0.25">
      <c r="A1" s="3"/>
      <c r="B1" s="3"/>
      <c r="C1" s="3"/>
      <c r="D1" s="3"/>
      <c r="E1" s="4"/>
      <c r="F1" s="4"/>
      <c r="G1" s="3"/>
      <c r="H1" s="3"/>
      <c r="I1" s="4"/>
      <c r="J1" s="4"/>
      <c r="K1" s="3"/>
      <c r="L1" s="3"/>
      <c r="M1" s="3"/>
      <c r="N1" s="3"/>
    </row>
    <row r="2" spans="1:14" s="5" customFormat="1" ht="80.099999999999994" customHeight="1" x14ac:dyDescent="0.25">
      <c r="A2" s="3"/>
      <c r="B2" s="26" t="s">
        <v>22</v>
      </c>
      <c r="C2" s="6"/>
      <c r="D2" s="6"/>
      <c r="E2" s="7"/>
      <c r="F2" s="8" t="s">
        <v>16</v>
      </c>
      <c r="G2" s="9">
        <v>0.25</v>
      </c>
      <c r="H2" s="3"/>
      <c r="I2" s="4"/>
      <c r="J2" s="4"/>
      <c r="K2" s="3"/>
      <c r="L2" s="3"/>
      <c r="M2" s="3"/>
      <c r="N2" s="3"/>
    </row>
    <row r="3" spans="1:14" s="5" customFormat="1" ht="30" customHeight="1" x14ac:dyDescent="0.25">
      <c r="A3" s="3"/>
      <c r="B3" s="3"/>
      <c r="C3" s="3"/>
      <c r="D3" s="3"/>
      <c r="E3" s="10"/>
      <c r="F3" s="10"/>
      <c r="G3" s="3"/>
      <c r="H3" s="3"/>
      <c r="I3" s="10"/>
      <c r="J3" s="10"/>
      <c r="K3" s="3"/>
      <c r="L3" s="3"/>
      <c r="M3" s="3"/>
      <c r="N3" s="3"/>
    </row>
    <row r="4" spans="1:14" s="5" customFormat="1" ht="62.1" customHeight="1" x14ac:dyDescent="0.25">
      <c r="A4" s="11"/>
      <c r="B4" s="17" t="s">
        <v>18</v>
      </c>
      <c r="C4" s="17" t="s">
        <v>0</v>
      </c>
      <c r="D4" s="17" t="s">
        <v>8</v>
      </c>
      <c r="E4" s="24" t="s">
        <v>15</v>
      </c>
      <c r="F4" s="24" t="s">
        <v>10</v>
      </c>
      <c r="G4" s="17" t="s">
        <v>9</v>
      </c>
      <c r="H4" s="17" t="s">
        <v>17</v>
      </c>
      <c r="I4" s="24" t="s">
        <v>11</v>
      </c>
      <c r="J4" s="24" t="s">
        <v>12</v>
      </c>
      <c r="K4" s="17" t="s">
        <v>14</v>
      </c>
      <c r="L4" s="17" t="s">
        <v>13</v>
      </c>
      <c r="M4" s="17" t="s">
        <v>1</v>
      </c>
      <c r="N4" s="11"/>
    </row>
    <row r="5" spans="1:14" s="5" customFormat="1" ht="33.9" customHeight="1" x14ac:dyDescent="0.25">
      <c r="A5" s="3"/>
      <c r="B5" s="18" t="s">
        <v>45</v>
      </c>
      <c r="C5" s="18" t="s">
        <v>29</v>
      </c>
      <c r="D5" s="18" t="s">
        <v>24</v>
      </c>
      <c r="E5" s="25">
        <f ca="1">TODAY()-5</f>
        <v>45604</v>
      </c>
      <c r="F5" s="25">
        <f ca="1">TODAY()</f>
        <v>45609</v>
      </c>
      <c r="G5" s="18">
        <v>10</v>
      </c>
      <c r="H5" s="21">
        <f ca="1">IF(COUNTA('Project tracker'!$E5,'Project tracker'!$F5)&lt;&gt;2,"",DAYS360('Project tracker'!$E5,'Project tracker'!$F5,FALSE))</f>
        <v>5</v>
      </c>
      <c r="I5" s="25">
        <f ca="1">TODAY()-5</f>
        <v>45604</v>
      </c>
      <c r="J5" s="25">
        <f ca="1">TODAY()</f>
        <v>45609</v>
      </c>
      <c r="K5" s="18">
        <v>5</v>
      </c>
      <c r="L5" s="21">
        <f ca="1">IF(COUNTA('Project tracker'!$I5,'Project tracker'!$J5)&lt;&gt;2,"",DAYS360('Project tracker'!$I5,'Project tracker'!$J5,FALSE))</f>
        <v>5</v>
      </c>
      <c r="M5" s="18" t="s">
        <v>34</v>
      </c>
      <c r="N5" s="3"/>
    </row>
    <row r="6" spans="1:14" s="5" customFormat="1" ht="33.9" customHeight="1" x14ac:dyDescent="0.25">
      <c r="A6" s="3"/>
      <c r="B6" s="18" t="s">
        <v>28</v>
      </c>
      <c r="C6" s="18" t="s">
        <v>29</v>
      </c>
      <c r="D6" s="18" t="s">
        <v>24</v>
      </c>
      <c r="E6" s="25">
        <f ca="1">TODAY()-5</f>
        <v>45604</v>
      </c>
      <c r="F6" s="25">
        <f ca="1">TODAY()+5</f>
        <v>45614</v>
      </c>
      <c r="G6" s="18">
        <v>4</v>
      </c>
      <c r="H6" s="21">
        <f ca="1">IF(COUNTA('Project tracker'!$E6,'Project tracker'!$F6)&lt;&gt;2,"",DAYS360('Project tracker'!$E6,'Project tracker'!$F6,FALSE))</f>
        <v>10</v>
      </c>
      <c r="I6" s="25">
        <f ca="1">TODAY()-5</f>
        <v>45604</v>
      </c>
      <c r="J6" s="25">
        <f ca="1">TODAY()+5</f>
        <v>45614</v>
      </c>
      <c r="K6" s="18">
        <v>6</v>
      </c>
      <c r="L6" s="21">
        <f ca="1">IF(COUNTA('Project tracker'!$I6,'Project tracker'!$J6)&lt;&gt;2,"",DAYS360('Project tracker'!$I6,'Project tracker'!$J6,FALSE))</f>
        <v>10</v>
      </c>
      <c r="M6" s="18" t="s">
        <v>35</v>
      </c>
      <c r="N6" s="3"/>
    </row>
    <row r="7" spans="1:14" s="5" customFormat="1" ht="33.9" customHeight="1" x14ac:dyDescent="0.25">
      <c r="A7" s="3"/>
      <c r="B7" s="18" t="s">
        <v>46</v>
      </c>
      <c r="C7" s="18" t="s">
        <v>29</v>
      </c>
      <c r="D7" s="18" t="s">
        <v>24</v>
      </c>
      <c r="E7" s="25">
        <f ca="1">TODAY()</f>
        <v>45609</v>
      </c>
      <c r="F7" s="25">
        <f ca="1">TODAY()+17</f>
        <v>45626</v>
      </c>
      <c r="G7" s="18">
        <v>50</v>
      </c>
      <c r="H7" s="21">
        <f ca="1">IF(COUNTA('Project tracker'!$E7,'Project tracker'!$F7)&lt;&gt;2,"",DAYS360('Project tracker'!$E7,'Project tracker'!$F7,FALSE))</f>
        <v>17</v>
      </c>
      <c r="I7" s="25">
        <f ca="1">TODAY()</f>
        <v>45609</v>
      </c>
      <c r="J7" s="25">
        <f ca="1">TODAY()+17</f>
        <v>45626</v>
      </c>
      <c r="K7" s="18">
        <v>4</v>
      </c>
      <c r="L7" s="21">
        <f ca="1">IF(COUNTA('Project tracker'!$I7,'Project tracker'!$J7)&lt;&gt;2,"",DAYS360('Project tracker'!$I7,'Project tracker'!$J7,FALSE))</f>
        <v>17</v>
      </c>
      <c r="M7" s="18" t="s">
        <v>36</v>
      </c>
      <c r="N7" s="3"/>
    </row>
    <row r="8" spans="1:14" s="5" customFormat="1" ht="33.9" customHeight="1" x14ac:dyDescent="0.25">
      <c r="A8" s="3"/>
      <c r="B8" s="18" t="s">
        <v>47</v>
      </c>
      <c r="C8" s="18" t="s">
        <v>30</v>
      </c>
      <c r="D8" s="18" t="s">
        <v>23</v>
      </c>
      <c r="E8" s="25">
        <f ca="1">TODAY()</f>
        <v>45609</v>
      </c>
      <c r="F8" s="25">
        <f ca="1">TODAY()+17</f>
        <v>45626</v>
      </c>
      <c r="G8" s="18">
        <v>15</v>
      </c>
      <c r="H8" s="21">
        <f ca="1">IF(COUNTA('Project tracker'!$E8,'Project tracker'!$F8)&lt;&gt;2,"",DAYS360('Project tracker'!$E8,'Project tracker'!$F8,FALSE))</f>
        <v>17</v>
      </c>
      <c r="I8" s="25">
        <f ca="1">TODAY()</f>
        <v>45609</v>
      </c>
      <c r="J8" s="25">
        <f ca="1">TODAY()+17</f>
        <v>45626</v>
      </c>
      <c r="K8" s="18">
        <v>1</v>
      </c>
      <c r="L8" s="21">
        <f ca="1">IF(COUNTA('Project tracker'!$I8,'Project tracker'!$J8)&lt;&gt;2,"",DAYS360('Project tracker'!$I8,'Project tracker'!$J8,FALSE))</f>
        <v>17</v>
      </c>
      <c r="M8" s="18" t="s">
        <v>37</v>
      </c>
      <c r="N8" s="3"/>
    </row>
    <row r="9" spans="1:14" s="5" customFormat="1" ht="33.9" customHeight="1" x14ac:dyDescent="0.25">
      <c r="A9" s="3"/>
      <c r="B9" s="18" t="s">
        <v>32</v>
      </c>
      <c r="C9" s="18" t="s">
        <v>30</v>
      </c>
      <c r="D9" s="18" t="s">
        <v>23</v>
      </c>
      <c r="E9" s="25">
        <f ca="1">TODAY()</f>
        <v>45609</v>
      </c>
      <c r="F9" s="25">
        <f ca="1">TODAY()+17</f>
        <v>45626</v>
      </c>
      <c r="G9" s="18">
        <v>10</v>
      </c>
      <c r="H9" s="21">
        <f ca="1">IF(COUNTA('Project tracker'!$E9,'Project tracker'!$F9)&lt;&gt;2,"",DAYS360('Project tracker'!$E9,'Project tracker'!$F9,FALSE))</f>
        <v>17</v>
      </c>
      <c r="I9" s="25">
        <f ca="1">TODAY()</f>
        <v>45609</v>
      </c>
      <c r="J9" s="25">
        <f ca="1">TODAY()+17</f>
        <v>45626</v>
      </c>
      <c r="K9" s="18">
        <v>1</v>
      </c>
      <c r="L9" s="21">
        <f ca="1">IF(COUNTA('Project tracker'!$I9,'Project tracker'!$J9)&lt;&gt;2,"",DAYS360('Project tracker'!$I9,'Project tracker'!$J9,FALSE))</f>
        <v>17</v>
      </c>
      <c r="M9" s="18" t="s">
        <v>39</v>
      </c>
      <c r="N9" s="3"/>
    </row>
    <row r="10" spans="1:14" s="5" customFormat="1" ht="33.9" customHeight="1" x14ac:dyDescent="0.25">
      <c r="A10" s="3"/>
      <c r="B10" s="18" t="s">
        <v>31</v>
      </c>
      <c r="C10" s="18" t="s">
        <v>30</v>
      </c>
      <c r="D10" s="18" t="s">
        <v>23</v>
      </c>
      <c r="E10" s="25">
        <f ca="1">TODAY()+3</f>
        <v>45612</v>
      </c>
      <c r="F10" s="25">
        <f ca="1">TODAY()+17</f>
        <v>45626</v>
      </c>
      <c r="G10" s="18">
        <v>5</v>
      </c>
      <c r="H10" s="21">
        <f ca="1">IF(COUNTA('Project tracker'!$E10,'Project tracker'!$F10)&lt;&gt;2,"",DAYS360('Project tracker'!$E10,'Project tracker'!$F10,FALSE))</f>
        <v>14</v>
      </c>
      <c r="I10" s="25">
        <f ca="1">TODAY()+3</f>
        <v>45612</v>
      </c>
      <c r="J10" s="25">
        <f ca="1">TODAY()+17</f>
        <v>45626</v>
      </c>
      <c r="K10" s="18">
        <v>6</v>
      </c>
      <c r="L10" s="21">
        <f ca="1">IF(COUNTA('Project tracker'!$I10,'Project tracker'!$J10)&lt;&gt;2,"",DAYS360('Project tracker'!$I10,'Project tracker'!$J10,FALSE))</f>
        <v>14</v>
      </c>
      <c r="M10" s="18" t="s">
        <v>38</v>
      </c>
      <c r="N10" s="3"/>
    </row>
    <row r="11" spans="1:14" ht="30" customHeight="1" x14ac:dyDescent="0.25">
      <c r="B11" s="28"/>
      <c r="C11" s="28"/>
      <c r="D11" s="28"/>
      <c r="E11" s="29"/>
      <c r="F11" s="29"/>
      <c r="G11" s="28"/>
      <c r="H11" s="21" t="str">
        <f>IF(COUNTA('Project tracker'!$E11,'Project tracker'!$F11)&lt;&gt;2,"",DAYS360('Project tracker'!$E11,'Project tracker'!$F11,FALSE))</f>
        <v/>
      </c>
      <c r="I11" s="29"/>
      <c r="J11" s="29"/>
      <c r="K11" s="28"/>
      <c r="L11" s="21" t="str">
        <f>IF(COUNTA('Project tracker'!$I11,'Project tracker'!$J11)&lt;&gt;2,"",DAYS360('Project tracker'!$I11,'Project tracker'!$J11,FALSE))</f>
        <v/>
      </c>
      <c r="M11" s="28"/>
    </row>
    <row r="12" spans="1:14" ht="30" customHeight="1" x14ac:dyDescent="0.25">
      <c r="B12" s="28"/>
      <c r="C12" s="28"/>
      <c r="D12" s="28"/>
      <c r="E12" s="29"/>
      <c r="F12" s="29"/>
      <c r="G12" s="28"/>
      <c r="H12" s="21" t="str">
        <f>IF(COUNTA('Project tracker'!$E12,'Project tracker'!$F12)&lt;&gt;2,"",DAYS360('Project tracker'!$E12,'Project tracker'!$F12,FALSE))</f>
        <v/>
      </c>
      <c r="I12" s="29"/>
      <c r="J12" s="29"/>
      <c r="K12" s="28"/>
      <c r="L12" s="21" t="str">
        <f>IF(COUNTA('Project tracker'!$I12,'Project tracker'!$J12)&lt;&gt;2,"",DAYS360('Project tracker'!$I12,'Project tracker'!$J12,FALSE))</f>
        <v/>
      </c>
      <c r="M12" s="28"/>
    </row>
  </sheetData>
  <conditionalFormatting sqref="K5:K12">
    <cfRule type="expression" dxfId="1" priority="1">
      <formula>(ABS((K5-G5))/G5)&gt;FlagPercent</formula>
    </cfRule>
  </conditionalFormatting>
  <conditionalFormatting sqref="L5:L12">
    <cfRule type="expression" dxfId="0" priority="2">
      <formula>(ABS((L5-H5))/H5)&gt;FlagPercent</formula>
    </cfRule>
  </conditionalFormatting>
  <dataValidations count="15">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estimated project start date in this column" sqref="E4" xr:uid="{00000000-0002-0000-0000-000009000000}"/>
    <dataValidation allowBlank="1" showInputMessage="1" showErrorMessage="1" prompt="Enter the estimated project finish date in this column" sqref="F4" xr:uid="{00000000-0002-0000-0000-00000A000000}"/>
    <dataValidation allowBlank="1" showInputMessage="1" showErrorMessage="1" prompt="Enter estimated project work in hours" sqref="G4" xr:uid="{00000000-0002-0000-0000-00000B000000}"/>
    <dataValidation allowBlank="1" showInputMessage="1" showErrorMessage="1" prompt="Estimated duration in days is auto calculated in this column" sqref="H4" xr:uid="{00000000-0002-0000-0000-00000C000000}"/>
    <dataValidation allowBlank="1" showInputMessage="1" showErrorMessage="1" prompt="Enter the actual project start date in this column" sqref="I4" xr:uid="{00000000-0002-0000-0000-00000D000000}"/>
    <dataValidation allowBlank="1" showInputMessage="1" showErrorMessage="1" prompt="Enter the actual project finish date in this column" sqref="J4" xr:uid="{00000000-0002-0000-0000-00000E000000}"/>
    <dataValidation allowBlank="1" showInputMessage="1" showErrorMessage="1" prompt="Enter the actual project work in hours. Values that meet the Over/Under criteria are highlighted bold font styling." sqref="K4" xr:uid="{00000000-0002-0000-0000-000011000000}"/>
    <dataValidation allowBlank="1" showInputMessage="1" showErrorMessage="1" prompt="Actual number of days is auto calculated in this column. Values that meet the Over/Under criteria are highlighted bold font styling." sqref="L4" xr:uid="{00000000-0002-0000-0000-000012000000}"/>
    <dataValidation allowBlank="1" showInputMessage="1" showErrorMessage="1" prompt="Enter notes for projects in this column" sqref="M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12" xr:uid="{00000000-0002-0000-0000-000002000000}">
      <formula1>CategoryList</formula1>
    </dataValidation>
    <dataValidation type="list" allowBlank="1" showInputMessage="1" showErrorMessage="1" error="Select an employee from the list or create a new employee to display in this list from the Setup worksheet." sqref="D5:D12"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64F2-A0CB-432E-B537-8AB164D6506B}">
  <dimension ref="A1:D4"/>
  <sheetViews>
    <sheetView topLeftCell="D1" workbookViewId="0">
      <selection activeCell="E4" sqref="E4"/>
    </sheetView>
  </sheetViews>
  <sheetFormatPr defaultColWidth="8.7265625" defaultRowHeight="13.8" x14ac:dyDescent="0.25"/>
  <cols>
    <col min="1" max="1" width="12.7265625" style="27" customWidth="1"/>
    <col min="2" max="2" width="20.08984375" style="27" customWidth="1"/>
    <col min="3" max="3" width="16.7265625" style="27" customWidth="1"/>
    <col min="4" max="16384" width="8.7265625" style="27"/>
  </cols>
  <sheetData>
    <row r="1" spans="1:4" x14ac:dyDescent="0.25">
      <c r="A1" s="27" t="s">
        <v>25</v>
      </c>
      <c r="B1" s="27" t="s">
        <v>26</v>
      </c>
      <c r="C1" s="27" t="s">
        <v>27</v>
      </c>
      <c r="D1" s="27" t="s">
        <v>48</v>
      </c>
    </row>
    <row r="2" spans="1:4" x14ac:dyDescent="0.25">
      <c r="A2" s="27" t="s">
        <v>19</v>
      </c>
    </row>
    <row r="3" spans="1:4" x14ac:dyDescent="0.25">
      <c r="A3" s="27" t="s">
        <v>20</v>
      </c>
    </row>
    <row r="4" spans="1:4" x14ac:dyDescent="0.25">
      <c r="A4" s="27" t="s">
        <v>21</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zoomScale="70" zoomScaleNormal="70" workbookViewId="0">
      <selection activeCell="G9" sqref="G9"/>
    </sheetView>
  </sheetViews>
  <sheetFormatPr defaultColWidth="9" defaultRowHeight="30" customHeight="1" x14ac:dyDescent="0.25"/>
  <cols>
    <col min="1" max="1" width="6.7265625" style="12" customWidth="1"/>
    <col min="2" max="3" width="18.453125" style="23" customWidth="1"/>
    <col min="4" max="4" width="6.7265625" style="13" customWidth="1"/>
    <col min="5" max="16384" width="9" style="1"/>
  </cols>
  <sheetData>
    <row r="1" spans="1:4" customFormat="1" ht="30" customHeight="1" x14ac:dyDescent="0.25">
      <c r="A1" s="12"/>
      <c r="B1" s="12"/>
      <c r="C1" s="12"/>
      <c r="D1" s="12"/>
    </row>
    <row r="2" spans="1:4" customFormat="1" ht="80.099999999999994" customHeight="1" x14ac:dyDescent="0.25">
      <c r="A2" s="12"/>
      <c r="B2" s="16" t="s">
        <v>4</v>
      </c>
      <c r="C2" s="13"/>
      <c r="D2" s="13"/>
    </row>
    <row r="3" spans="1:4" customFormat="1" ht="30" customHeight="1" x14ac:dyDescent="0.25">
      <c r="A3" s="12"/>
      <c r="B3" s="13"/>
      <c r="C3" s="13"/>
      <c r="D3" s="13"/>
    </row>
    <row r="4" spans="1:4" customFormat="1" ht="62.1" customHeight="1" x14ac:dyDescent="0.25">
      <c r="A4" s="14"/>
      <c r="B4" s="22" t="s">
        <v>5</v>
      </c>
      <c r="C4" s="22" t="s">
        <v>6</v>
      </c>
      <c r="D4" s="15"/>
    </row>
    <row r="5" spans="1:4" customFormat="1" ht="33.9" customHeight="1" x14ac:dyDescent="0.25">
      <c r="A5" s="12"/>
      <c r="B5" s="22" t="s">
        <v>29</v>
      </c>
      <c r="C5" s="22" t="s">
        <v>40</v>
      </c>
      <c r="D5" s="13"/>
    </row>
    <row r="6" spans="1:4" customFormat="1" ht="33.9" customHeight="1" x14ac:dyDescent="0.25">
      <c r="A6" s="12"/>
      <c r="B6" s="22" t="s">
        <v>30</v>
      </c>
      <c r="C6" s="22" t="s">
        <v>41</v>
      </c>
      <c r="D6" s="13"/>
    </row>
    <row r="7" spans="1:4" customFormat="1" ht="33.9" customHeight="1" x14ac:dyDescent="0.25">
      <c r="A7" s="12"/>
      <c r="B7" s="22" t="s">
        <v>33</v>
      </c>
      <c r="C7" s="22" t="s">
        <v>42</v>
      </c>
      <c r="D7" s="13"/>
    </row>
    <row r="8" spans="1:4" customFormat="1" ht="33.9" customHeight="1" x14ac:dyDescent="0.25">
      <c r="A8" s="12"/>
      <c r="B8" s="22" t="s">
        <v>2</v>
      </c>
      <c r="C8" s="22" t="s">
        <v>43</v>
      </c>
      <c r="D8" s="13"/>
    </row>
    <row r="9" spans="1:4" customFormat="1" ht="33.9" customHeight="1" x14ac:dyDescent="0.25">
      <c r="A9" s="12"/>
      <c r="B9" s="22" t="s">
        <v>3</v>
      </c>
      <c r="C9" s="22" t="s">
        <v>44</v>
      </c>
      <c r="D9" s="13"/>
    </row>
    <row r="10" spans="1:4" customFormat="1" ht="33.9" customHeight="1" x14ac:dyDescent="0.25">
      <c r="A10" s="12"/>
      <c r="B10" s="22" t="s">
        <v>7</v>
      </c>
      <c r="C10" s="22" t="s">
        <v>24</v>
      </c>
      <c r="D10" s="13"/>
    </row>
    <row r="11" spans="1:4" customFormat="1" ht="30" customHeight="1" x14ac:dyDescent="0.25">
      <c r="A11" s="12"/>
      <c r="B11" s="23"/>
      <c r="C11" s="23"/>
      <c r="D11" s="13"/>
    </row>
  </sheetData>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648F31BC-5AA3-42BF-80F4-A797E59C4FBD}">
  <ds:schemaRefs>
    <ds:schemaRef ds:uri="http://schemas.microsoft.com/sharepoint/v3/contenttype/forms"/>
  </ds:schemaRefs>
</ds:datastoreItem>
</file>

<file path=customXml/itemProps2.xml><?xml version="1.0" encoding="utf-8"?>
<ds:datastoreItem xmlns:ds="http://schemas.openxmlformats.org/officeDocument/2006/customXml" ds:itemID="{D99023F8-0F96-4650-8DC3-63EE0BD6C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66C173-72E5-4455-ACFB-9A7596D30A2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Project tracker</vt:lpstr>
      <vt:lpstr>Task Lookup</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2024-11-14T03:14:14Z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