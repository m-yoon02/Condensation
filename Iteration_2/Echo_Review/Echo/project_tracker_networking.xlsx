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filterPrivacy="1" codeName="ThisWorkbook"/>
  <xr:revisionPtr revIDLastSave="0" documentId="13_ncr:1_{C94FC4E6-ADBF-7543-B0CD-4E4CF87561B6}" xr6:coauthVersionLast="47" xr6:coauthVersionMax="47" xr10:uidLastSave="{00000000-0000-0000-0000-000000000000}"/>
  <bookViews>
    <workbookView xWindow="0" yWindow="780" windowWidth="26400" windowHeight="19760" xr2:uid="{00000000-000D-0000-FFFF-FFFF00000000}"/>
  </bookViews>
  <sheets>
    <sheet name="Project tracker" sheetId="1" r:id="rId1"/>
    <sheet name="Task Lookup" sheetId="3" r:id="rId2"/>
    <sheet name="Setup" sheetId="2" r:id="rId3"/>
  </sheets>
  <definedNames>
    <definedName name="CategoryList">Setup!$B$5:$B$9</definedName>
    <definedName name="EmployeeList">Setup!$C$5:$C$9</definedName>
    <definedName name="FlagPercent">'Project tracker'!$G$2</definedName>
    <definedName name="_xlnm.Print_Titles" localSheetId="0">'Project tracker'!$4:$4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 l="1"/>
  <c r="L17" i="1"/>
  <c r="H16" i="1"/>
  <c r="L16" i="1"/>
  <c r="H15" i="1"/>
  <c r="L15" i="1"/>
  <c r="H14" i="1"/>
  <c r="L14" i="1"/>
  <c r="J5" i="1"/>
  <c r="I5" i="1"/>
  <c r="F5" i="1"/>
  <c r="H13" i="1" l="1"/>
  <c r="L13" i="1"/>
  <c r="H5" i="1"/>
  <c r="H12" i="1"/>
  <c r="H10" i="1"/>
  <c r="L11" i="1" l="1"/>
  <c r="H9" i="1"/>
  <c r="L5" i="1"/>
  <c r="H11" i="1"/>
  <c r="L9" i="1"/>
  <c r="L10" i="1"/>
  <c r="L12" i="1"/>
</calcChain>
</file>

<file path=xl/sharedStrings.xml><?xml version="1.0" encoding="utf-8"?>
<sst xmlns="http://schemas.openxmlformats.org/spreadsheetml/2006/main" count="64" uniqueCount="51">
  <si>
    <t>Project Task Tracker</t>
  </si>
  <si>
    <t>Percent over/under to highlighted numbers</t>
  </si>
  <si>
    <t>Task</t>
  </si>
  <si>
    <t>Category</t>
  </si>
  <si>
    <t>Assigned to</t>
  </si>
  <si>
    <t>Estimated start</t>
  </si>
  <si>
    <t>Estimated finish</t>
  </si>
  <si>
    <t>Estimated work (in hours)</t>
  </si>
  <si>
    <t>Estimated duration
(in days)</t>
  </si>
  <si>
    <t>Actual start</t>
  </si>
  <si>
    <t>Actual finish</t>
  </si>
  <si>
    <t>Actual work 
(in hours)</t>
  </si>
  <si>
    <t>Actual duration (in days)</t>
  </si>
  <si>
    <t>Notes</t>
  </si>
  <si>
    <t>Chat use case desc</t>
  </si>
  <si>
    <t>Planning</t>
  </si>
  <si>
    <t>finished Chat description</t>
  </si>
  <si>
    <t>Overall planning for whats needed for networking - placed in a document</t>
  </si>
  <si>
    <t>Outline finished</t>
  </si>
  <si>
    <t>Structure diagram planning</t>
  </si>
  <si>
    <t>Networking Reaserch</t>
  </si>
  <si>
    <t>Structure diagram</t>
  </si>
  <si>
    <t>Seqence Diagram</t>
  </si>
  <si>
    <t>Create Base Classes for coding</t>
  </si>
  <si>
    <t>Coding</t>
  </si>
  <si>
    <t>Network Class</t>
  </si>
  <si>
    <t>AuthenticationHandler</t>
  </si>
  <si>
    <t>ChatManager</t>
  </si>
  <si>
    <t>GameSyncManager</t>
  </si>
  <si>
    <t>LeaderboardHandler</t>
  </si>
  <si>
    <t>ServerRelay</t>
  </si>
  <si>
    <t>Task Number</t>
  </si>
  <si>
    <t>Task Name</t>
  </si>
  <si>
    <t>Task Description</t>
  </si>
  <si>
    <t>Task 1</t>
  </si>
  <si>
    <t>Task 2</t>
  </si>
  <si>
    <t>Task 3</t>
  </si>
  <si>
    <t>Setup</t>
  </si>
  <si>
    <t>Category Name</t>
  </si>
  <si>
    <t>Employee Name</t>
  </si>
  <si>
    <t>Student 1</t>
  </si>
  <si>
    <t>Student 2</t>
  </si>
  <si>
    <t>Category 3</t>
  </si>
  <si>
    <t>Student 3</t>
  </si>
  <si>
    <t>Category 4</t>
  </si>
  <si>
    <t>Student 4</t>
  </si>
  <si>
    <t>Category 5</t>
  </si>
  <si>
    <t>Student 5</t>
  </si>
  <si>
    <t>SD outline setup</t>
  </si>
  <si>
    <t>SD design completion</t>
  </si>
  <si>
    <t>supplimentary networking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</si>
</sst>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22"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
      <sz val="48"/>
      <color theme="9" tint="-0.499984740745262"/>
      <name val="Calibri"/>
      <family val="2"/>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30">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4" fillId="4" borderId="0" xfId="8" applyFont="1" applyFill="1" applyAlignment="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xf numFmtId="0" fontId="21" fillId="4" borderId="0" xfId="9" applyFont="1" applyFill="1" applyAlignment="1">
      <alignment vertical="center"/>
    </xf>
    <xf numFmtId="0" fontId="19" fillId="0" borderId="0" xfId="0" applyFont="1">
      <alignment vertical="center"/>
    </xf>
    <xf numFmtId="0" fontId="12" fillId="4" borderId="0" xfId="0" applyFont="1" applyFill="1" applyAlignment="1">
      <alignment horizontal="left" vertical="center" indent="2"/>
    </xf>
    <xf numFmtId="14" fontId="20" fillId="4" borderId="0" xfId="8" applyFont="1" applyFill="1" applyAlignment="1">
      <alignment horizontal="left" vertical="center" indent="2"/>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7">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Custom Table Style" defaultPivotStyle="PivotStyleMedium2">
    <tableStyle name="Custom Table Style" pivot="0" count="2" xr9:uid="{00000000-0011-0000-FFFF-FFFF00000000}">
      <tableStyleElement type="wholeTable" dxfId="26"/>
      <tableStyleElement type="headerRow" dxfId="25"/>
    </tableStyle>
    <tableStyle name="Custom Table Style 2" pivot="0" count="2" xr9:uid="{FFDA21C0-6F5D-4BB1-A228-A4BC4D9DA682}">
      <tableStyleElement type="wholeTable" dxfId="24"/>
      <tableStyleElement type="headerRow" dxfId="23"/>
    </tableStyle>
    <tableStyle name="Table Style 1" pivot="0" count="3" xr9:uid="{5F9F0DBC-1B06-494D-8D4F-D10423CEAFF4}">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12</xdr:col>
      <xdr:colOff>952966</xdr:colOff>
      <xdr:row>1</xdr:row>
      <xdr:rowOff>323851</xdr:rowOff>
    </xdr:from>
    <xdr:to>
      <xdr:col>13</xdr:col>
      <xdr:colOff>466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M17" totalsRowShown="0" headerRowDxfId="19" dataDxfId="18">
  <autoFilter ref="B4:M1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Task" dataDxfId="17"/>
    <tableColumn id="2" xr3:uid="{00000000-0010-0000-0000-000002000000}" name="Category" dataDxfId="16"/>
    <tableColumn id="3" xr3:uid="{00000000-0010-0000-0000-000003000000}" name="Assigned to" dataDxfId="15"/>
    <tableColumn id="4" xr3:uid="{00000000-0010-0000-0000-000004000000}" name="Estimated start" dataDxfId="14"/>
    <tableColumn id="5" xr3:uid="{00000000-0010-0000-0000-000005000000}" name="Estimated finish" dataDxfId="13"/>
    <tableColumn id="6" xr3:uid="{00000000-0010-0000-0000-000006000000}" name="Estimated work (in hours)" dataDxfId="12"/>
    <tableColumn id="7" xr3:uid="{00000000-0010-0000-0000-000007000000}" name="Estimated duration_x000a_(in days)" dataDxfId="11">
      <calculatedColumnFormula>IF(COUNTA('Project tracker'!$E5,'Project tracker'!$F5)&lt;&gt;2,"",DAYS360('Project tracker'!$E5,'Project tracker'!$F5,FALSE))</calculatedColumnFormula>
    </tableColumn>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tracker'!$I5,'Project tracker'!$J5)&lt;&gt;2,"",DAYS360('Project tracker'!$I5,'Project tracker'!$J5,FALSE))</calculatedColumnFormula>
    </tableColumn>
    <tableColumn id="12" xr3:uid="{00000000-0010-0000-0000-00000C000000}" name="Notes"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9" totalsRowShown="0" headerRowDxfId="5" dataDxfId="4">
  <autoFilter ref="B4:C9"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Employee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N17"/>
  <sheetViews>
    <sheetView showGridLines="0" tabSelected="1" zoomScale="85" zoomScaleNormal="60" workbookViewId="0">
      <selection activeCell="M9" sqref="M9"/>
    </sheetView>
  </sheetViews>
  <sheetFormatPr baseColWidth="10" defaultColWidth="9.140625" defaultRowHeight="30" customHeight="1" x14ac:dyDescent="0.15"/>
  <cols>
    <col min="1" max="1" width="6.7109375" style="3" customWidth="1"/>
    <col min="2" max="4" width="18.7109375" style="19" customWidth="1"/>
    <col min="5" max="6" width="18.7109375" style="20" customWidth="1"/>
    <col min="7" max="8" width="18.7109375" style="19" customWidth="1"/>
    <col min="9" max="10" width="16.85546875" style="20" customWidth="1"/>
    <col min="11" max="12" width="16" style="19" customWidth="1"/>
    <col min="13" max="13" width="20.42578125" style="19" customWidth="1"/>
    <col min="14" max="14" width="6.7109375" style="3" customWidth="1"/>
    <col min="15" max="15" width="4.140625" style="2" customWidth="1"/>
    <col min="16" max="40" width="3.28515625" style="2" customWidth="1"/>
    <col min="41" max="16384" width="9.140625" style="2"/>
  </cols>
  <sheetData>
    <row r="1" spans="1:14" s="5" customFormat="1" ht="30" customHeight="1" x14ac:dyDescent="0.15">
      <c r="A1" s="3"/>
      <c r="B1" s="3"/>
      <c r="C1" s="3"/>
      <c r="D1" s="3"/>
      <c r="E1" s="4"/>
      <c r="F1" s="4"/>
      <c r="G1" s="3"/>
      <c r="H1" s="3"/>
      <c r="I1" s="4"/>
      <c r="J1" s="4"/>
      <c r="K1" s="3"/>
      <c r="L1" s="3"/>
      <c r="M1" s="3"/>
      <c r="N1" s="3"/>
    </row>
    <row r="2" spans="1:14" s="5" customFormat="1" ht="80" customHeight="1" x14ac:dyDescent="0.15">
      <c r="A2" s="3"/>
      <c r="B2" s="26" t="s">
        <v>0</v>
      </c>
      <c r="C2" s="6"/>
      <c r="D2" s="6"/>
      <c r="E2" s="7"/>
      <c r="F2" s="8" t="s">
        <v>1</v>
      </c>
      <c r="G2" s="9">
        <v>0.25</v>
      </c>
      <c r="H2" s="3"/>
      <c r="I2" s="4"/>
      <c r="J2" s="4"/>
      <c r="K2" s="3"/>
      <c r="L2" s="3"/>
      <c r="M2" s="3"/>
      <c r="N2" s="3"/>
    </row>
    <row r="3" spans="1:14" s="5" customFormat="1" ht="30" customHeight="1" x14ac:dyDescent="0.15">
      <c r="A3" s="3"/>
      <c r="B3" s="3"/>
      <c r="C3" s="3"/>
      <c r="D3" s="3"/>
      <c r="E3" s="10"/>
      <c r="F3" s="10"/>
      <c r="G3" s="3"/>
      <c r="H3" s="3"/>
      <c r="I3" s="10"/>
      <c r="J3" s="10"/>
      <c r="K3" s="3"/>
      <c r="L3" s="3"/>
      <c r="M3" s="3"/>
      <c r="N3" s="3"/>
    </row>
    <row r="4" spans="1:14" s="5" customFormat="1" ht="62" customHeight="1" x14ac:dyDescent="0.15">
      <c r="A4" s="11"/>
      <c r="B4" s="17" t="s">
        <v>2</v>
      </c>
      <c r="C4" s="17" t="s">
        <v>3</v>
      </c>
      <c r="D4" s="17" t="s">
        <v>4</v>
      </c>
      <c r="E4" s="24" t="s">
        <v>5</v>
      </c>
      <c r="F4" s="24" t="s">
        <v>6</v>
      </c>
      <c r="G4" s="17" t="s">
        <v>7</v>
      </c>
      <c r="H4" s="17" t="s">
        <v>8</v>
      </c>
      <c r="I4" s="24" t="s">
        <v>9</v>
      </c>
      <c r="J4" s="24" t="s">
        <v>10</v>
      </c>
      <c r="K4" s="17" t="s">
        <v>11</v>
      </c>
      <c r="L4" s="17" t="s">
        <v>12</v>
      </c>
      <c r="M4" s="17" t="s">
        <v>13</v>
      </c>
      <c r="N4" s="11"/>
    </row>
    <row r="5" spans="1:14" s="5" customFormat="1" ht="34" customHeight="1" x14ac:dyDescent="0.15">
      <c r="A5" s="3"/>
      <c r="B5" s="18" t="s">
        <v>14</v>
      </c>
      <c r="C5" s="18" t="s">
        <v>15</v>
      </c>
      <c r="D5" s="18"/>
      <c r="E5" s="25">
        <v>45593</v>
      </c>
      <c r="F5" s="25">
        <f ca="1">TODAY()</f>
        <v>45600</v>
      </c>
      <c r="G5" s="18">
        <v>0.5</v>
      </c>
      <c r="H5" s="21">
        <f ca="1">IF(COUNTA('Project tracker'!$E5,'Project tracker'!$F5)&lt;&gt;2,"",DAYS360('Project tracker'!$E5,'Project tracker'!$F5,FALSE))</f>
        <v>6</v>
      </c>
      <c r="I5" s="25">
        <f ca="1">TODAY()</f>
        <v>45600</v>
      </c>
      <c r="J5" s="25">
        <f ca="1">TODAY()</f>
        <v>45600</v>
      </c>
      <c r="K5" s="18">
        <v>0.75</v>
      </c>
      <c r="L5" s="21">
        <f ca="1">IF(COUNTA('Project tracker'!$I5,'Project tracker'!$J5)&lt;&gt;2,"",DAYS360('Project tracker'!$I5,'Project tracker'!$J5,FALSE))</f>
        <v>0</v>
      </c>
      <c r="M5" s="18" t="s">
        <v>16</v>
      </c>
      <c r="N5" s="3"/>
    </row>
    <row r="6" spans="1:14" s="5" customFormat="1" ht="34" customHeight="1" x14ac:dyDescent="0.15">
      <c r="A6" s="3"/>
      <c r="B6" s="18" t="s">
        <v>17</v>
      </c>
      <c r="C6" s="18" t="s">
        <v>15</v>
      </c>
      <c r="D6" s="18"/>
      <c r="E6" s="25">
        <v>45595</v>
      </c>
      <c r="F6" s="25">
        <v>45595</v>
      </c>
      <c r="G6" s="18">
        <v>2</v>
      </c>
      <c r="H6" s="21">
        <v>1</v>
      </c>
      <c r="I6" s="25">
        <v>45595</v>
      </c>
      <c r="J6" s="25">
        <v>45595</v>
      </c>
      <c r="K6" s="18">
        <v>2.75</v>
      </c>
      <c r="L6" s="21">
        <v>1</v>
      </c>
      <c r="M6" s="18" t="s">
        <v>18</v>
      </c>
      <c r="N6" s="3"/>
    </row>
    <row r="7" spans="1:14" s="5" customFormat="1" ht="34" customHeight="1" x14ac:dyDescent="0.15">
      <c r="A7" s="3"/>
      <c r="B7" s="18" t="s">
        <v>19</v>
      </c>
      <c r="C7" s="18" t="s">
        <v>15</v>
      </c>
      <c r="D7" s="18"/>
      <c r="E7" s="25">
        <v>45594</v>
      </c>
      <c r="F7" s="25">
        <v>45595</v>
      </c>
      <c r="G7" s="18">
        <v>3</v>
      </c>
      <c r="H7" s="21">
        <v>1</v>
      </c>
      <c r="I7" s="25">
        <v>45595</v>
      </c>
      <c r="J7" s="25">
        <v>45596</v>
      </c>
      <c r="K7" s="18">
        <v>3</v>
      </c>
      <c r="L7" s="21">
        <v>2</v>
      </c>
      <c r="M7" s="18" t="s">
        <v>48</v>
      </c>
      <c r="N7" s="3"/>
    </row>
    <row r="8" spans="1:14" s="5" customFormat="1" ht="34" customHeight="1" x14ac:dyDescent="0.15">
      <c r="A8" s="3"/>
      <c r="B8" s="18" t="s">
        <v>20</v>
      </c>
      <c r="C8" s="18" t="s">
        <v>15</v>
      </c>
      <c r="D8" s="18"/>
      <c r="E8" s="25">
        <v>45595</v>
      </c>
      <c r="F8" s="25">
        <v>45595</v>
      </c>
      <c r="G8" s="18">
        <v>1</v>
      </c>
      <c r="H8" s="21">
        <v>1</v>
      </c>
      <c r="I8" s="25">
        <v>45597</v>
      </c>
      <c r="J8" s="25">
        <v>45599</v>
      </c>
      <c r="K8" s="18">
        <v>3</v>
      </c>
      <c r="L8" s="21">
        <v>2</v>
      </c>
      <c r="M8" s="18" t="s">
        <v>50</v>
      </c>
      <c r="N8" s="3"/>
    </row>
    <row r="9" spans="1:14" s="5" customFormat="1" ht="34" customHeight="1" x14ac:dyDescent="0.15">
      <c r="A9" s="3"/>
      <c r="B9" s="18" t="s">
        <v>21</v>
      </c>
      <c r="C9" s="18" t="s">
        <v>15</v>
      </c>
      <c r="D9" s="18"/>
      <c r="E9" s="25">
        <v>45594</v>
      </c>
      <c r="F9" s="25">
        <v>45597</v>
      </c>
      <c r="G9" s="18">
        <v>5</v>
      </c>
      <c r="H9" s="21">
        <f>IF(COUNTA('Project tracker'!$E9,'Project tracker'!$F9)&lt;&gt;2,"",DAYS360('Project tracker'!$E9,'Project tracker'!$F9,FALSE))</f>
        <v>2</v>
      </c>
      <c r="I9" s="25">
        <v>45594</v>
      </c>
      <c r="J9" s="25">
        <v>45597</v>
      </c>
      <c r="K9" s="18">
        <v>7</v>
      </c>
      <c r="L9" s="21">
        <f>IF(COUNTA('Project tracker'!$I9,'Project tracker'!$J9)&lt;&gt;2,"",DAYS360('Project tracker'!$I9,'Project tracker'!$J9,FALSE))</f>
        <v>2</v>
      </c>
      <c r="M9" s="18" t="s">
        <v>49</v>
      </c>
      <c r="N9" s="3"/>
    </row>
    <row r="10" spans="1:14" s="5" customFormat="1" ht="34" customHeight="1" x14ac:dyDescent="0.15">
      <c r="A10" s="3"/>
      <c r="B10" s="18" t="s">
        <v>22</v>
      </c>
      <c r="C10" s="18" t="s">
        <v>15</v>
      </c>
      <c r="D10" s="18"/>
      <c r="E10" s="25">
        <v>45596</v>
      </c>
      <c r="F10" s="25">
        <v>45596</v>
      </c>
      <c r="G10" s="18">
        <v>1</v>
      </c>
      <c r="H10" s="21">
        <f>IF(COUNTA('Project tracker'!$E10,'Project tracker'!$F10)&lt;&gt;2,"",DAYS360('Project tracker'!$E10,'Project tracker'!$F10,FALSE))</f>
        <v>0</v>
      </c>
      <c r="I10" s="25">
        <v>45596</v>
      </c>
      <c r="J10" s="25">
        <v>45596</v>
      </c>
      <c r="K10" s="18">
        <v>2</v>
      </c>
      <c r="L10" s="21">
        <f>IF(COUNTA('Project tracker'!$I10,'Project tracker'!$J10)&lt;&gt;2,"",DAYS360('Project tracker'!$I10,'Project tracker'!$J10,FALSE))</f>
        <v>0</v>
      </c>
      <c r="M10" s="18"/>
      <c r="N10" s="3"/>
    </row>
    <row r="11" spans="1:14" s="5" customFormat="1" ht="34" customHeight="1" x14ac:dyDescent="0.15">
      <c r="A11" s="3"/>
      <c r="B11" s="18" t="s">
        <v>23</v>
      </c>
      <c r="C11" s="18" t="s">
        <v>24</v>
      </c>
      <c r="D11" s="18"/>
      <c r="E11" s="25">
        <v>45600</v>
      </c>
      <c r="F11" s="25">
        <v>45600</v>
      </c>
      <c r="G11" s="18">
        <v>1</v>
      </c>
      <c r="H11" s="21">
        <f>IF(COUNTA('Project tracker'!$E11,'Project tracker'!$F11)&lt;&gt;2,"",DAYS360('Project tracker'!$E11,'Project tracker'!$F11,FALSE))</f>
        <v>0</v>
      </c>
      <c r="I11" s="25">
        <v>45600</v>
      </c>
      <c r="J11" s="25">
        <v>45600</v>
      </c>
      <c r="K11" s="18">
        <v>1</v>
      </c>
      <c r="L11" s="21">
        <f>IF(COUNTA('Project tracker'!$I11,'Project tracker'!$J11)&lt;&gt;2,"",DAYS360('Project tracker'!$I11,'Project tracker'!$J11,FALSE))</f>
        <v>0</v>
      </c>
      <c r="M11" s="18"/>
      <c r="N11" s="3"/>
    </row>
    <row r="12" spans="1:14" s="5" customFormat="1" ht="34" customHeight="1" x14ac:dyDescent="0.15">
      <c r="A12" s="3"/>
      <c r="B12" s="18" t="s">
        <v>25</v>
      </c>
      <c r="C12" s="18" t="s">
        <v>24</v>
      </c>
      <c r="D12" s="18"/>
      <c r="E12" s="25">
        <v>45600</v>
      </c>
      <c r="F12" s="25">
        <v>45616</v>
      </c>
      <c r="G12" s="18">
        <v>5</v>
      </c>
      <c r="H12" s="21">
        <f>IF(COUNTA('Project tracker'!$E12,'Project tracker'!$F12)&lt;&gt;2,"",DAYS360('Project tracker'!$E12,'Project tracker'!$F12,FALSE))</f>
        <v>16</v>
      </c>
      <c r="I12" s="25"/>
      <c r="J12" s="25"/>
      <c r="K12" s="18"/>
      <c r="L12" s="21" t="str">
        <f>IF(COUNTA('Project tracker'!$I12,'Project tracker'!$J12)&lt;&gt;2,"",DAYS360('Project tracker'!$I12,'Project tracker'!$J12,FALSE))</f>
        <v/>
      </c>
      <c r="M12" s="18"/>
      <c r="N12" s="3"/>
    </row>
    <row r="13" spans="1:14" s="5" customFormat="1" ht="34" customHeight="1" x14ac:dyDescent="0.15">
      <c r="A13" s="3"/>
      <c r="B13" s="18" t="s">
        <v>26</v>
      </c>
      <c r="C13" s="18" t="s">
        <v>24</v>
      </c>
      <c r="D13" s="18"/>
      <c r="E13" s="25">
        <v>45600</v>
      </c>
      <c r="F13" s="25">
        <v>45608</v>
      </c>
      <c r="G13" s="18">
        <v>3</v>
      </c>
      <c r="H13" s="21">
        <f>IF(COUNTA('Project tracker'!$E13,'Project tracker'!$F13)&lt;&gt;2,"",DAYS360('Project tracker'!$E13,'Project tracker'!$F13,FALSE))</f>
        <v>8</v>
      </c>
      <c r="I13" s="25"/>
      <c r="J13" s="25"/>
      <c r="K13" s="18"/>
      <c r="L13" s="21" t="str">
        <f>IF(COUNTA('Project tracker'!$I13,'Project tracker'!$J13)&lt;&gt;2,"",DAYS360('Project tracker'!$I13,'Project tracker'!$J13,FALSE))</f>
        <v/>
      </c>
      <c r="M13" s="18"/>
      <c r="N13" s="3"/>
    </row>
    <row r="14" spans="1:14" s="5" customFormat="1" ht="30" customHeight="1" x14ac:dyDescent="0.15">
      <c r="A14" s="3"/>
      <c r="B14" s="28" t="s">
        <v>27</v>
      </c>
      <c r="C14" s="28" t="s">
        <v>24</v>
      </c>
      <c r="D14" s="28"/>
      <c r="E14" s="29">
        <v>45600</v>
      </c>
      <c r="F14" s="29">
        <v>45604</v>
      </c>
      <c r="G14" s="28">
        <v>3</v>
      </c>
      <c r="H14" s="21">
        <f>IF(COUNTA('Project tracker'!$E14,'Project tracker'!$F14)&lt;&gt;2,"",DAYS360('Project tracker'!$E14,'Project tracker'!$F14,FALSE))</f>
        <v>4</v>
      </c>
      <c r="I14" s="29"/>
      <c r="J14" s="29"/>
      <c r="K14" s="28"/>
      <c r="L14" s="21" t="str">
        <f>IF(COUNTA('Project tracker'!$I14,'Project tracker'!$J14)&lt;&gt;2,"",DAYS360('Project tracker'!$I14,'Project tracker'!$J14,FALSE))</f>
        <v/>
      </c>
      <c r="M14" s="28"/>
      <c r="N14" s="3"/>
    </row>
    <row r="15" spans="1:14" ht="30" customHeight="1" x14ac:dyDescent="0.15">
      <c r="B15" s="28" t="s">
        <v>28</v>
      </c>
      <c r="C15" s="28" t="s">
        <v>24</v>
      </c>
      <c r="D15" s="28"/>
      <c r="E15" s="29">
        <v>45600</v>
      </c>
      <c r="F15" s="29">
        <v>45610</v>
      </c>
      <c r="G15" s="28">
        <v>3</v>
      </c>
      <c r="H15" s="21">
        <f>IF(COUNTA('Project tracker'!$E15,'Project tracker'!$F15)&lt;&gt;2,"",DAYS360('Project tracker'!$E15,'Project tracker'!$F15,FALSE))</f>
        <v>10</v>
      </c>
      <c r="I15" s="29"/>
      <c r="J15" s="29"/>
      <c r="K15" s="28"/>
      <c r="L15" s="21" t="str">
        <f>IF(COUNTA('Project tracker'!$I15,'Project tracker'!$J15)&lt;&gt;2,"",DAYS360('Project tracker'!$I15,'Project tracker'!$J15,FALSE))</f>
        <v/>
      </c>
      <c r="M15" s="28"/>
    </row>
    <row r="16" spans="1:14" ht="30" customHeight="1" x14ac:dyDescent="0.15">
      <c r="B16" s="28" t="s">
        <v>29</v>
      </c>
      <c r="C16" s="28" t="s">
        <v>24</v>
      </c>
      <c r="D16" s="28"/>
      <c r="E16" s="29">
        <v>45600</v>
      </c>
      <c r="F16" s="29">
        <v>45615</v>
      </c>
      <c r="G16" s="28">
        <v>2</v>
      </c>
      <c r="H16" s="21">
        <f>IF(COUNTA('Project tracker'!$E16,'Project tracker'!$F16)&lt;&gt;2,"",DAYS360('Project tracker'!$E16,'Project tracker'!$F16,FALSE))</f>
        <v>15</v>
      </c>
      <c r="I16" s="29"/>
      <c r="J16" s="29"/>
      <c r="K16" s="28"/>
      <c r="L16" s="21" t="str">
        <f>IF(COUNTA('Project tracker'!$I16,'Project tracker'!$J16)&lt;&gt;2,"",DAYS360('Project tracker'!$I16,'Project tracker'!$J16,FALSE))</f>
        <v/>
      </c>
      <c r="M16" s="28"/>
    </row>
    <row r="17" spans="2:13" ht="30" customHeight="1" x14ac:dyDescent="0.15">
      <c r="B17" s="28" t="s">
        <v>30</v>
      </c>
      <c r="C17" s="28" t="s">
        <v>24</v>
      </c>
      <c r="D17" s="28"/>
      <c r="E17" s="29">
        <v>45600</v>
      </c>
      <c r="F17" s="29">
        <v>45626</v>
      </c>
      <c r="G17" s="28">
        <v>7</v>
      </c>
      <c r="H17" s="21">
        <f>IF(COUNTA('Project tracker'!$E17,'Project tracker'!$F17)&lt;&gt;2,"",DAYS360('Project tracker'!$E17,'Project tracker'!$F17,FALSE))</f>
        <v>26</v>
      </c>
      <c r="I17" s="29"/>
      <c r="J17" s="29"/>
      <c r="K17" s="28"/>
      <c r="L17" s="21" t="str">
        <f>IF(COUNTA('Project tracker'!$I17,'Project tracker'!$J17)&lt;&gt;2,"",DAYS360('Project tracker'!$I17,'Project tracker'!$J17,FALSE))</f>
        <v/>
      </c>
      <c r="M17" s="28"/>
    </row>
  </sheetData>
  <conditionalFormatting sqref="K5:K17">
    <cfRule type="expression" dxfId="1" priority="1">
      <formula>(ABS((K5-G5))/G5)&gt;FlagPercent</formula>
    </cfRule>
  </conditionalFormatting>
  <conditionalFormatting sqref="L5:L17">
    <cfRule type="expression" dxfId="0" priority="2">
      <formula>(ABS((L5-H5))/H5)&gt;FlagPercent</formula>
    </cfRule>
  </conditionalFormatting>
  <dataValidations count="15">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Select the Employee name from the dropdown list in each cell in this column. Options are defined in the Setup worksheet. Press ALT+DOWN ARROW to navigate the list, then ENTER to make a selection" sqref="D4" xr:uid="{00000000-0002-0000-0000-000008000000}"/>
    <dataValidation allowBlank="1" showInputMessage="1" showErrorMessage="1" prompt="Enter the estimated project start date in this column" sqref="E4" xr:uid="{00000000-0002-0000-0000-000009000000}"/>
    <dataValidation allowBlank="1" showInputMessage="1" showErrorMessage="1" prompt="Enter the estimated project finish date in this column" sqref="F4" xr:uid="{00000000-0002-0000-0000-00000A000000}"/>
    <dataValidation allowBlank="1" showInputMessage="1" showErrorMessage="1" prompt="Enter estimated project work in hours" sqref="G4" xr:uid="{00000000-0002-0000-0000-00000B000000}"/>
    <dataValidation allowBlank="1" showInputMessage="1" showErrorMessage="1" prompt="Estimated duration in days is auto calculated in this column" sqref="H4" xr:uid="{00000000-0002-0000-0000-00000C000000}"/>
    <dataValidation allowBlank="1" showInputMessage="1" showErrorMessage="1" prompt="Enter the actual project start date in this column" sqref="I4" xr:uid="{00000000-0002-0000-0000-00000D000000}"/>
    <dataValidation allowBlank="1" showInputMessage="1" showErrorMessage="1" prompt="Enter the actual project finish date in this column" sqref="J4" xr:uid="{00000000-0002-0000-0000-00000E000000}"/>
    <dataValidation allowBlank="1" showInputMessage="1" showErrorMessage="1" prompt="Enter the actual project work in hours. Values that meet the Over/Under criteria are highlighted bold font styling." sqref="K4" xr:uid="{00000000-0002-0000-0000-000011000000}"/>
    <dataValidation allowBlank="1" showInputMessage="1" showErrorMessage="1" prompt="Actual number of days is auto calculated in this column. Values that meet the Over/Under criteria are highlighted bold font styling." sqref="L4" xr:uid="{00000000-0002-0000-0000-000012000000}"/>
    <dataValidation allowBlank="1" showInputMessage="1" showErrorMessage="1" prompt="Enter notes for projects in this column" sqref="M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17" xr:uid="{00000000-0002-0000-0000-000002000000}">
      <formula1>CategoryList</formula1>
    </dataValidation>
    <dataValidation type="list" allowBlank="1" showInputMessage="1" showErrorMessage="1" error="Select an employee from the list or create a new employee to display in this list from the Setup worksheet." sqref="D5:D17" xr:uid="{00000000-0002-0000-0000-000003000000}">
      <formula1>EmployeeList</formula1>
    </dataValidation>
  </dataValidations>
  <printOptions horizontalCentered="1"/>
  <pageMargins left="0.25" right="0.25" top="0.5" bottom="0.5" header="0.3" footer="0.3"/>
  <pageSetup fitToHeight="0" orientation="landscape" r:id="rId1"/>
  <headerFooter differentFirst="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64F2-A0CB-432E-B537-8AB164D6506B}">
  <dimension ref="A1:C4"/>
  <sheetViews>
    <sheetView workbookViewId="0">
      <selection activeCell="B2" sqref="B2"/>
    </sheetView>
  </sheetViews>
  <sheetFormatPr baseColWidth="10" defaultColWidth="8.7109375" defaultRowHeight="14" x14ac:dyDescent="0.15"/>
  <cols>
    <col min="1" max="1" width="12.7109375" style="27" customWidth="1"/>
    <col min="2" max="2" width="20.140625" style="27" customWidth="1"/>
    <col min="3" max="3" width="16.7109375" style="27" customWidth="1"/>
    <col min="4" max="16384" width="8.7109375" style="27"/>
  </cols>
  <sheetData>
    <row r="1" spans="1:3" x14ac:dyDescent="0.15">
      <c r="A1" s="27" t="s">
        <v>31</v>
      </c>
      <c r="B1" s="27" t="s">
        <v>32</v>
      </c>
      <c r="C1" s="27" t="s">
        <v>33</v>
      </c>
    </row>
    <row r="2" spans="1:3" x14ac:dyDescent="0.15">
      <c r="A2" s="27" t="s">
        <v>34</v>
      </c>
    </row>
    <row r="3" spans="1:3" x14ac:dyDescent="0.15">
      <c r="A3" s="27" t="s">
        <v>35</v>
      </c>
    </row>
    <row r="4" spans="1:3" x14ac:dyDescent="0.15">
      <c r="A4" s="27" t="s">
        <v>36</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11"/>
  <sheetViews>
    <sheetView showGridLines="0" zoomScale="70" zoomScaleNormal="70" workbookViewId="0">
      <selection activeCell="B7" sqref="B7"/>
    </sheetView>
  </sheetViews>
  <sheetFormatPr baseColWidth="10" defaultColWidth="9" defaultRowHeight="30" customHeight="1" x14ac:dyDescent="0.15"/>
  <cols>
    <col min="1" max="1" width="6.7109375" style="12" customWidth="1"/>
    <col min="2" max="3" width="18.42578125" style="23" customWidth="1"/>
    <col min="4" max="4" width="6.7109375" style="13" customWidth="1"/>
    <col min="5" max="16384" width="9" style="1"/>
  </cols>
  <sheetData>
    <row r="1" spans="1:4" customFormat="1" ht="30" customHeight="1" x14ac:dyDescent="0.15">
      <c r="A1" s="12"/>
      <c r="B1" s="12"/>
      <c r="C1" s="12"/>
      <c r="D1" s="12"/>
    </row>
    <row r="2" spans="1:4" customFormat="1" ht="80" customHeight="1" x14ac:dyDescent="0.15">
      <c r="A2" s="12"/>
      <c r="B2" s="16" t="s">
        <v>37</v>
      </c>
      <c r="C2" s="13"/>
      <c r="D2" s="13"/>
    </row>
    <row r="3" spans="1:4" customFormat="1" ht="30" customHeight="1" x14ac:dyDescent="0.15">
      <c r="A3" s="12"/>
      <c r="B3" s="13"/>
      <c r="C3" s="13"/>
      <c r="D3" s="13"/>
    </row>
    <row r="4" spans="1:4" customFormat="1" ht="62" customHeight="1" x14ac:dyDescent="0.15">
      <c r="A4" s="14"/>
      <c r="B4" s="22" t="s">
        <v>38</v>
      </c>
      <c r="C4" s="22" t="s">
        <v>39</v>
      </c>
      <c r="D4" s="15"/>
    </row>
    <row r="5" spans="1:4" customFormat="1" ht="34" customHeight="1" x14ac:dyDescent="0.15">
      <c r="A5" s="12"/>
      <c r="B5" s="22" t="s">
        <v>15</v>
      </c>
      <c r="C5" s="22" t="s">
        <v>40</v>
      </c>
      <c r="D5" s="13"/>
    </row>
    <row r="6" spans="1:4" customFormat="1" ht="34" customHeight="1" x14ac:dyDescent="0.15">
      <c r="A6" s="12"/>
      <c r="B6" s="22" t="s">
        <v>24</v>
      </c>
      <c r="C6" s="22" t="s">
        <v>41</v>
      </c>
      <c r="D6" s="13"/>
    </row>
    <row r="7" spans="1:4" customFormat="1" ht="34" customHeight="1" x14ac:dyDescent="0.15">
      <c r="A7" s="12"/>
      <c r="B7" s="22" t="s">
        <v>42</v>
      </c>
      <c r="C7" s="22" t="s">
        <v>43</v>
      </c>
      <c r="D7" s="13"/>
    </row>
    <row r="8" spans="1:4" customFormat="1" ht="34" customHeight="1" x14ac:dyDescent="0.15">
      <c r="A8" s="12"/>
      <c r="B8" s="22" t="s">
        <v>44</v>
      </c>
      <c r="C8" s="22" t="s">
        <v>45</v>
      </c>
      <c r="D8" s="13"/>
    </row>
    <row r="9" spans="1:4" customFormat="1" ht="34" customHeight="1" x14ac:dyDescent="0.15">
      <c r="A9" s="12"/>
      <c r="B9" s="22" t="s">
        <v>46</v>
      </c>
      <c r="C9" s="22" t="s">
        <v>47</v>
      </c>
      <c r="D9" s="13"/>
    </row>
    <row r="10" spans="1:4" customFormat="1" ht="34" customHeight="1" x14ac:dyDescent="0.15">
      <c r="A10" s="12"/>
      <c r="B10" s="23"/>
      <c r="C10" s="23"/>
      <c r="D10" s="13"/>
    </row>
    <row r="11" spans="1:4" customFormat="1" ht="30" customHeight="1" x14ac:dyDescent="0.15">
      <c r="A11" s="12"/>
      <c r="B11" s="23"/>
      <c r="C11" s="23"/>
      <c r="D11" s="13"/>
    </row>
  </sheetData>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D99023F8-0F96-4650-8DC3-63EE0BD6C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8F31BC-5AA3-42BF-80F4-A797E59C4FBD}">
  <ds:schemaRefs>
    <ds:schemaRef ds:uri="http://schemas.microsoft.com/sharepoint/v3/contenttype/forms"/>
  </ds:schemaRefs>
</ds:datastoreItem>
</file>

<file path=customXml/itemProps3.xml><?xml version="1.0" encoding="utf-8"?>
<ds:datastoreItem xmlns:ds="http://schemas.openxmlformats.org/officeDocument/2006/customXml" ds:itemID="{9066C173-72E5-4455-ACFB-9A7596D30A2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Macintosh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Project tracker</vt:lpstr>
      <vt:lpstr>Task Lookup</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2024-11-05T02:31:01Z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