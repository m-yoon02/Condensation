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345C0D5B-3956-4E92-A84C-14C4ED877C9F}" xr6:coauthVersionLast="47" xr6:coauthVersionMax="47" xr10:uidLastSave="{00000000-0000-0000-0000-000000000000}"/>
  <bookViews>
    <workbookView xWindow="-108" yWindow="-108" windowWidth="23256" windowHeight="12456" xr2:uid="{00000000-000D-0000-FFFF-FFFF00000000}"/>
  </bookViews>
  <sheets>
    <sheet name="Project tracker" sheetId="1" r:id="rId1"/>
    <sheet name="Task Lookup" sheetId="3" r:id="rId2"/>
    <sheet name="Setup" sheetId="2" r:id="rId3"/>
  </sheets>
  <definedNames>
    <definedName name="CategoryList">Setup!$B$5:$B$10</definedName>
    <definedName name="EmployeeList">Setup!$C$5:$C$10</definedName>
    <definedName name="FlagPercent">'Project tracker'!$G$2</definedName>
    <definedName name="_xlnm.Print_Titles" localSheetId="0">'Project tracker'!$4:$4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 r="D8" i="1"/>
  <c r="E8" i="1"/>
  <c r="I8" i="1"/>
  <c r="I7" i="1"/>
  <c r="H7" i="1"/>
  <c r="E7" i="1"/>
  <c r="D7" i="1"/>
  <c r="G5" i="1" l="1"/>
  <c r="G8" i="1"/>
  <c r="G6" i="1" l="1"/>
  <c r="G7" i="1"/>
  <c r="K5" i="1"/>
  <c r="G11" i="1"/>
  <c r="K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tc={54407567-1572-4EF0-84D1-2F7A50100333}</author>
    <author>tc={6D2D7681-AFC1-4F5A-B154-16D74E851623}</author>
    <author>tc={CD3B299D-F77C-494D-8237-5314B40EACFB}</author>
    <author>tc={9717BCA1-AFAA-4CBA-9F0B-F41FAF647A1C}</author>
    <author>tc={1E40B37D-EE5E-4ABA-94C6-CD6810B21150}</author>
    <author>tc={148159F2-9102-4E85-BF1B-E8AE6420CBA1}</author>
  </authors>
  <commentList>
    <comment ref="B5" authorId="0" shapeId="0" xr:uid="{54407567-1572-4EF0-84D1-2F7A50100333}">
      <text>
        <t>[Threaded comment]
Your version of Excel allows you to read this threaded comment; however, any edits to it will get removed if the file is opened in a newer version of Excel. Learn more: https://go.microsoft.com/fwlink/?linkid=870924
Comment:
    The tracker is missing the category section that describes the kind of work being done during each task (Planning, documentation, coding, etc)</t>
      </text>
    </comment>
    <comment ref="G7" authorId="1" shapeId="0" xr:uid="{6D2D7681-AFC1-4F5A-B154-16D74E851623}">
      <text>
        <t>[Threaded comment]
Your version of Excel allows you to read this threaded comment; however, any edits to it will get removed if the file is opened in a newer version of Excel. Learn more: https://go.microsoft.com/fwlink/?linkid=870924
Comment:
    Student 2’s estimated work duration in days is formatted a bit weird. The minimum duration in days should be 1, so I assume that’s what the student meant, but it would be better to list it as 1 instead of 0 for consistency and organization.
Not a big deal though</t>
      </text>
    </comment>
    <comment ref="D9" authorId="2" shapeId="0" xr:uid="{CD3B299D-F77C-494D-8237-5314B40EACFB}">
      <text>
        <t>[Threaded comment]
Your version of Excel allows you to read this threaded comment; however, any edits to it will get removed if the file is opened in a newer version of Excel. Learn more: https://go.microsoft.com/fwlink/?linkid=870924
Comment:
    Student 3’s estimated start and finish date for their tasks doesn’t match the estimated duration in days. This should be changed so that the expected start and finish dates should better align with the estimated duration</t>
      </text>
    </comment>
    <comment ref="H9" authorId="3" shapeId="0" xr:uid="{9717BCA1-AFAA-4CBA-9F0B-F41FAF647A1C}">
      <text>
        <t>[Threaded comment]
Your version of Excel allows you to read this threaded comment; however, any edits to it will get removed if the file is opened in a newer version of Excel. Learn more: https://go.microsoft.com/fwlink/?linkid=870924
Comment:
    According to the actual start dates, Student 3 started late, beginning on the day of the deadline. While the workload was less than expected and the deadline was met, this could be a sign of procrastination or rushed inadequate work and  should be addressed to see if the late start was the cause of student 3’s work ethic, a mistake in forgetting to adjust the expected start dates (as they don’t match the expected duration in days), or external matters.</t>
      </text>
    </comment>
    <comment ref="L9" authorId="4" shapeId="0" xr:uid="{1E40B37D-EE5E-4ABA-94C6-CD6810B21150}">
      <text>
        <t>[Threaded comment]
Your version of Excel allows you to read this threaded comment; however, any edits to it will get removed if the file is opened in a newer version of Excel. Learn more: https://go.microsoft.com/fwlink/?linkid=870924
Comment:
    Student 3’s tasks have no notes. It would be helpful to have them to describe the tasks that student 3 has done and better track the overall state and progress of the project</t>
      </text>
    </comment>
    <comment ref="H11" authorId="5" shapeId="0" xr:uid="{148159F2-9102-4E85-BF1B-E8AE6420CBA1}">
      <text>
        <t xml:space="preserve">[Threaded comment]
Your version of Excel allows you to read this threaded comment; however, any edits to it will get removed if the file is opened in a newer version of Excel. Learn more: https://go.microsoft.com/fwlink/?linkid=870924
Comment:
    It seems Student 3 started work on the code before making the use case descriptions and structure diagram. It would be better to do these in reverse order to better structure the code before making it.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tc={0430417D-6521-4777-A475-87A4377C5536}</author>
  </authors>
  <commentList>
    <comment ref="A1" authorId="0" shapeId="0" xr:uid="{0430417D-6521-4777-A475-87A4377C5536}">
      <text>
        <t>[Threaded comment]
Your version of Excel allows you to read this threaded comment; however, any edits to it will get removed if the file is opened in a newer version of Excel. Learn more: https://go.microsoft.com/fwlink/?linkid=870924
Comment:
    Task lookup page incomplete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tc={DC7AA41F-FB8B-4CD3-BD51-6F9F13C9B524}</author>
  </authors>
  <commentList>
    <comment ref="C7" authorId="0" shapeId="0" xr:uid="{DC7AA41F-FB8B-4CD3-BD51-6F9F13C9B524}">
      <text>
        <t>[Threaded comment]
Your version of Excel allows you to read this threaded comment; however, any edits to it will get removed if the file is opened in a newer version of Excel. Learn more: https://go.microsoft.com/fwlink/?linkid=870924
Comment:
    Only two students are named and the categories aren’t listed</t>
      </text>
    </comment>
  </commentList>
</comments>
</file>

<file path=xl/sharedStrings.xml><?xml version="1.0" encoding="utf-8"?>
<sst xmlns="http://schemas.openxmlformats.org/spreadsheetml/2006/main" count="52" uniqueCount="47">
  <si>
    <t>Project Task Tracker</t>
  </si>
  <si>
    <t>Percent over/under to highlighted numbers</t>
  </si>
  <si>
    <t>Task</t>
  </si>
  <si>
    <t>Assigned to</t>
  </si>
  <si>
    <t>Estimated start</t>
  </si>
  <si>
    <t>Estimated finish</t>
  </si>
  <si>
    <t>Estimated work (in hours)</t>
  </si>
  <si>
    <t>Estimated duration
(in days)</t>
  </si>
  <si>
    <t>Actual start</t>
  </si>
  <si>
    <t>Actual finish</t>
  </si>
  <si>
    <t>Actual work 
(in hours)</t>
  </si>
  <si>
    <t>Actual duration (in days)</t>
  </si>
  <si>
    <t>Notes</t>
  </si>
  <si>
    <t xml:space="preserve">Placement Test Use Case </t>
  </si>
  <si>
    <t>Student 1</t>
  </si>
  <si>
    <t>Finished the Placement Test Use Case for the description and diagram</t>
  </si>
  <si>
    <t>Placement Test Structure Diagram</t>
  </si>
  <si>
    <t xml:space="preserve">Created the PlacementTest class and its part of the structure diagram with the methods that will be used for it </t>
  </si>
  <si>
    <t>Adjust Rating Use Case</t>
  </si>
  <si>
    <t>Student 2</t>
  </si>
  <si>
    <t>Wrote out the use case description for Adjust Rating</t>
  </si>
  <si>
    <t>Adjust Rating Class and Diagrams</t>
  </si>
  <si>
    <t>Created the AdjustRating class and its methods and added them to the use case and structure diagrams</t>
  </si>
  <si>
    <t>Matchmake Use Case</t>
  </si>
  <si>
    <t>Student 3</t>
  </si>
  <si>
    <t>Matchmake Structure Diagram</t>
  </si>
  <si>
    <t>Matchmake Class Code</t>
  </si>
  <si>
    <t>Task Number</t>
  </si>
  <si>
    <t>Task Name</t>
  </si>
  <si>
    <t>Task Description</t>
  </si>
  <si>
    <t>Task 1</t>
  </si>
  <si>
    <t>Task 2</t>
  </si>
  <si>
    <t>Task 3</t>
  </si>
  <si>
    <t>Setup</t>
  </si>
  <si>
    <t>Category Name</t>
  </si>
  <si>
    <t>Employee Name</t>
  </si>
  <si>
    <t>Category 1</t>
  </si>
  <si>
    <t>Jessica Truong</t>
  </si>
  <si>
    <t>Category 2</t>
  </si>
  <si>
    <t>Saif Farag</t>
  </si>
  <si>
    <t>Category 3</t>
  </si>
  <si>
    <t>Category 4</t>
  </si>
  <si>
    <t>Student 4</t>
  </si>
  <si>
    <t>Category 5</t>
  </si>
  <si>
    <t>Student 5</t>
  </si>
  <si>
    <t>Category 6</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</si>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</sst>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2"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28">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6">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5"/>
      <tableStyleElement type="headerRow" dxfId="24"/>
    </tableStyle>
    <tableStyle name="Custom Table Style 2" pivot="0" count="2" xr9:uid="{FFDA21C0-6F5D-4BB1-A228-A4BC4D9DA682}">
      <tableStyleElement type="wholeTable" dxfId="23"/>
      <tableStyleElement type="headerRow" dxfId="22"/>
    </tableStyle>
    <tableStyle name="Table Style 1" pivot="0" count="3" xr9:uid="{5F9F0DBC-1B06-494D-8D4F-D10423CEAFF4}">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L11" totalsRowShown="0" headerRowDxfId="18" dataDxfId="17">
  <autoFilter ref="B4:L1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Task"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tracker'!$D5,'Project tracker'!$E5)&lt;&gt;2,"",DAYS360('Project tracker'!$D5,'Project tracker'!$E5,FALSE))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tracker'!$H5,'Project tracker'!$I5)&lt;&gt;2,"",DAYS360('Project tracker'!$H5,'Project tracker'!$I5,FALSE))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10" totalsRowShown="0" headerRowDxfId="5" dataDxfId="4">
  <autoFilter ref="B4:C10"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4-11-13T03:55:50.42" personId="{00000000-0000-0000-0000-000000000000}" id="{54407567-1572-4EF0-84D1-2F7A50100333}">
    <text>The tracker is missing the category section that describes the kind of work being done during each task (Planning, documentation, coding, etc)</text>
  </threadedComment>
  <threadedComment ref="G7" dT="2024-11-13T02:24:42.52" personId="{00000000-0000-0000-0000-000000000000}" id="{6D2D7681-AFC1-4F5A-B154-16D74E851623}">
    <text>Student 2’s estimated work duration in days is formatted a bit weird. The minimum duration in days should be 1, so I assume that’s what the student meant, but it would be better to list it as 1 instead of 0 for consistency and organization.
Not a big deal though</text>
  </threadedComment>
  <threadedComment ref="D9" dT="2024-11-13T04:11:58.36" personId="{00000000-0000-0000-0000-000000000000}" id="{CD3B299D-F77C-494D-8237-5314B40EACFB}">
    <text>Student 3’s estimated start and finish date for their tasks doesn’t match the estimated duration in days. This should be changed so that the expected start and finish dates should better align with the estimated duration</text>
  </threadedComment>
  <threadedComment ref="H9" dT="2024-11-14T04:12:11.23" personId="{00000000-0000-0000-0000-000000000000}" id="{9717BCA1-AFAA-4CBA-9F0B-F41FAF647A1C}">
    <text>According to the actual start dates, Student 3 started late, beginning on the day of the deadline. While the workload was less than expected and the deadline was met, this could be a sign of procrastination or rushed inadequate work and  should be addressed to see if the late start was the cause of student 3’s work ethic, a mistake in forgetting to adjust the expected start dates (as they don’t match the expected duration in days), or external matters.</text>
  </threadedComment>
  <threadedComment ref="L9" dT="2024-11-13T02:22:05.30" personId="{00000000-0000-0000-0000-000000000000}" id="{1E40B37D-EE5E-4ABA-94C6-CD6810B21150}">
    <text>Student 3’s tasks have no notes. It would be helpful to have them to describe the tasks that student 3 has done and better track the overall state and progress of the project</text>
  </threadedComment>
  <threadedComment ref="H11" dT="2024-11-14T04:03:16.07" personId="{00000000-0000-0000-0000-000000000000}" id="{148159F2-9102-4E85-BF1B-E8AE6420CBA1}">
    <text xml:space="preserve">It seems Student 3 started work on the code before making the use case descriptions and structure diagram. It would be better to do these in reverse order to better structure the code before making 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11-14T04:21:50.19" personId="{00000000-0000-0000-0000-000000000000}" id="{0430417D-6521-4777-A475-87A4377C5536}">
    <text>Task lookup page incomplete</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4-11-14T04:20:11.21" personId="{00000000-0000-0000-0000-000000000000}" id="{DC7AA41F-FB8B-4CD3-BD51-6F9F13C9B524}">
    <text>Only two students are named and the categories aren’t listed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12"/>
  <sheetViews>
    <sheetView showGridLines="0" tabSelected="1" topLeftCell="A2" zoomScale="60" zoomScaleNormal="60" workbookViewId="0">
      <selection activeCell="B5" sqref="B5"/>
    </sheetView>
  </sheetViews>
  <sheetFormatPr defaultColWidth="9.08984375" defaultRowHeight="30" customHeight="1" x14ac:dyDescent="0.25"/>
  <cols>
    <col min="1" max="1" width="6.7265625" style="3" customWidth="1"/>
    <col min="2" max="4" width="18.7265625" style="19" customWidth="1"/>
    <col min="5" max="6" width="18.7265625" style="20" customWidth="1"/>
    <col min="7" max="8" width="18.7265625" style="19" customWidth="1"/>
    <col min="9" max="10" width="16.81640625" style="20" customWidth="1"/>
    <col min="11" max="12" width="16" style="19" customWidth="1"/>
    <col min="13" max="13" width="20.36328125" style="19" customWidth="1"/>
    <col min="14" max="14" width="6.7265625" style="3" customWidth="1"/>
    <col min="15" max="15" width="4.1796875" style="2" customWidth="1"/>
    <col min="16" max="40" width="3.26953125" style="2" customWidth="1"/>
    <col min="41" max="16384" width="9.08984375" style="2"/>
  </cols>
  <sheetData>
    <row r="1" spans="1:14" s="5" customFormat="1" ht="30" customHeight="1" x14ac:dyDescent="0.25">
      <c r="A1" s="3"/>
      <c r="B1" s="3"/>
      <c r="C1" s="3"/>
      <c r="D1" s="3"/>
      <c r="E1" s="4"/>
      <c r="F1" s="4"/>
      <c r="G1" s="3"/>
      <c r="H1" s="3"/>
      <c r="I1" s="4"/>
      <c r="J1" s="4"/>
      <c r="K1" s="3"/>
      <c r="L1" s="3"/>
      <c r="M1" s="3"/>
      <c r="N1" s="3"/>
    </row>
    <row r="2" spans="1:14" s="5" customFormat="1" ht="80.099999999999994" customHeight="1" x14ac:dyDescent="0.25">
      <c r="A2" s="3"/>
      <c r="B2" s="26" t="s">
        <v>0</v>
      </c>
      <c r="C2" s="6"/>
      <c r="D2" s="6"/>
      <c r="E2" s="7"/>
      <c r="F2" s="8" t="s">
        <v>1</v>
      </c>
      <c r="G2" s="9">
        <v>0.25</v>
      </c>
      <c r="H2" s="3"/>
      <c r="I2" s="4"/>
      <c r="J2" s="4"/>
      <c r="K2" s="3"/>
      <c r="L2" s="3"/>
      <c r="M2" s="3"/>
      <c r="N2" s="3"/>
    </row>
    <row r="3" spans="1:14" s="5" customFormat="1" ht="30" customHeight="1" x14ac:dyDescent="0.25">
      <c r="A3" s="3"/>
      <c r="B3" s="3"/>
      <c r="C3" s="3"/>
      <c r="D3" s="3"/>
      <c r="E3" s="10"/>
      <c r="F3" s="10"/>
      <c r="G3" s="3"/>
      <c r="H3" s="3"/>
      <c r="I3" s="10"/>
      <c r="J3" s="10"/>
      <c r="K3" s="3"/>
      <c r="L3" s="3"/>
      <c r="M3" s="3"/>
      <c r="N3" s="3"/>
    </row>
    <row r="4" spans="1:14" s="5" customFormat="1" ht="62.1" customHeight="1" x14ac:dyDescent="0.25">
      <c r="A4" s="11"/>
      <c r="B4" s="17" t="s">
        <v>2</v>
      </c>
      <c r="C4" s="17" t="s">
        <v>3</v>
      </c>
      <c r="D4" s="24" t="s">
        <v>4</v>
      </c>
      <c r="E4" s="24" t="s">
        <v>5</v>
      </c>
      <c r="F4" s="17" t="s">
        <v>6</v>
      </c>
      <c r="G4" s="17" t="s">
        <v>7</v>
      </c>
      <c r="H4" s="24" t="s">
        <v>8</v>
      </c>
      <c r="I4" s="24" t="s">
        <v>9</v>
      </c>
      <c r="J4" s="17" t="s">
        <v>10</v>
      </c>
      <c r="K4" s="17" t="s">
        <v>11</v>
      </c>
      <c r="L4" s="17" t="s">
        <v>12</v>
      </c>
      <c r="M4" s="11"/>
    </row>
    <row r="5" spans="1:14" s="5" customFormat="1" ht="33.9" customHeight="1" x14ac:dyDescent="0.25">
      <c r="A5" s="3"/>
      <c r="B5" s="18" t="s">
        <v>13</v>
      </c>
      <c r="C5" s="18" t="s">
        <v>14</v>
      </c>
      <c r="D5" s="25">
        <v>45595</v>
      </c>
      <c r="E5" s="25">
        <v>45600</v>
      </c>
      <c r="F5" s="18">
        <v>3</v>
      </c>
      <c r="G5" s="21">
        <f>IF(COUNTA('Project tracker'!$D5,'Project tracker'!$E5)&lt;&gt;2,"",DAYS360('Project tracker'!$D5,'Project tracker'!$E5,FALSE))</f>
        <v>4</v>
      </c>
      <c r="H5" s="25">
        <v>45595</v>
      </c>
      <c r="I5" s="25">
        <v>45600</v>
      </c>
      <c r="J5" s="18">
        <v>3</v>
      </c>
      <c r="K5" s="21">
        <f>IF(COUNTA('Project tracker'!$H5,'Project tracker'!$I5)&lt;&gt;2,"",DAYS360('Project tracker'!$H5,'Project tracker'!$I5,FALSE))</f>
        <v>4</v>
      </c>
      <c r="L5" s="18" t="s">
        <v>15</v>
      </c>
      <c r="M5" s="3"/>
    </row>
    <row r="6" spans="1:14" s="5" customFormat="1" ht="33.9" customHeight="1" x14ac:dyDescent="0.25">
      <c r="A6" s="3"/>
      <c r="B6" s="18" t="s">
        <v>16</v>
      </c>
      <c r="C6" s="18" t="s">
        <v>14</v>
      </c>
      <c r="D6" s="25">
        <v>45597</v>
      </c>
      <c r="E6" s="25">
        <v>45600</v>
      </c>
      <c r="F6" s="18">
        <v>1</v>
      </c>
      <c r="G6" s="21">
        <f>IF(COUNTA('Project tracker'!$D6,'Project tracker'!$E6)&lt;&gt;2,"",DAYS360('Project tracker'!$D6,'Project tracker'!$E6,FALSE))</f>
        <v>3</v>
      </c>
      <c r="H6" s="25">
        <v>45597</v>
      </c>
      <c r="I6" s="25">
        <v>45600</v>
      </c>
      <c r="J6" s="18">
        <v>2</v>
      </c>
      <c r="K6" s="21">
        <f>IF(COUNTA('Project tracker'!$H6,'Project tracker'!$I6)&lt;&gt;2,"",DAYS360('Project tracker'!$H6,'Project tracker'!$I6,FALSE))</f>
        <v>3</v>
      </c>
      <c r="L6" s="18" t="s">
        <v>17</v>
      </c>
      <c r="M6" s="3"/>
    </row>
    <row r="7" spans="1:14" s="5" customFormat="1" ht="33.9" customHeight="1" x14ac:dyDescent="0.25">
      <c r="A7" s="3"/>
      <c r="B7" s="18" t="s">
        <v>18</v>
      </c>
      <c r="C7" s="18" t="s">
        <v>19</v>
      </c>
      <c r="D7" s="25">
        <f ca="1">TODAY()-4</f>
        <v>45605</v>
      </c>
      <c r="E7" s="25">
        <f ca="1">TODAY()-4</f>
        <v>45605</v>
      </c>
      <c r="F7" s="18">
        <v>1</v>
      </c>
      <c r="G7" s="21">
        <f ca="1">IF(COUNTA('Project tracker'!$D7,'Project tracker'!$E7)&lt;&gt;2,"",DAYS360('Project tracker'!$D7,'Project tracker'!$E7,FALSE))</f>
        <v>0</v>
      </c>
      <c r="H7" s="25">
        <f ca="1">TODAY()-4</f>
        <v>45605</v>
      </c>
      <c r="I7" s="25">
        <f ca="1">TODAY()-4</f>
        <v>45605</v>
      </c>
      <c r="J7" s="18">
        <v>1</v>
      </c>
      <c r="K7" s="21">
        <v>1</v>
      </c>
      <c r="L7" s="18" t="s">
        <v>20</v>
      </c>
      <c r="M7" s="3"/>
    </row>
    <row r="8" spans="1:14" s="5" customFormat="1" ht="33.9" customHeight="1" x14ac:dyDescent="0.25">
      <c r="A8" s="3"/>
      <c r="B8" s="18" t="s">
        <v>21</v>
      </c>
      <c r="C8" s="18" t="s">
        <v>19</v>
      </c>
      <c r="D8" s="25">
        <f ca="1">TODAY()-3</f>
        <v>45606</v>
      </c>
      <c r="E8" s="25">
        <f ca="1">TODAY()-3</f>
        <v>45606</v>
      </c>
      <c r="F8" s="18">
        <v>3</v>
      </c>
      <c r="G8" s="21">
        <f ca="1">IF(COUNTA('Project tracker'!$D8,'Project tracker'!$E8)&lt;&gt;2,"",DAYS360('Project tracker'!$D8,'Project tracker'!$E8,FALSE))</f>
        <v>0</v>
      </c>
      <c r="H8" s="25">
        <f ca="1">TODAY()-3</f>
        <v>45606</v>
      </c>
      <c r="I8" s="25">
        <f ca="1">TODAY()-3</f>
        <v>45606</v>
      </c>
      <c r="J8" s="18">
        <v>5</v>
      </c>
      <c r="K8" s="21">
        <v>1</v>
      </c>
      <c r="L8" s="18" t="s">
        <v>22</v>
      </c>
      <c r="M8" s="3"/>
    </row>
    <row r="9" spans="1:14" s="5" customFormat="1" ht="33.9" customHeight="1" x14ac:dyDescent="0.25">
      <c r="A9" s="3"/>
      <c r="B9" s="18" t="s">
        <v>23</v>
      </c>
      <c r="C9" s="18" t="s">
        <v>24</v>
      </c>
      <c r="D9" s="25">
        <v>45597</v>
      </c>
      <c r="E9" s="25">
        <v>45600</v>
      </c>
      <c r="F9" s="18">
        <v>1</v>
      </c>
      <c r="G9" s="21">
        <v>1</v>
      </c>
      <c r="H9" s="25">
        <v>45600</v>
      </c>
      <c r="I9" s="25">
        <v>45600</v>
      </c>
      <c r="J9" s="18">
        <v>0.17</v>
      </c>
      <c r="K9" s="21">
        <v>1</v>
      </c>
      <c r="L9" s="18"/>
      <c r="M9" s="3"/>
    </row>
    <row r="10" spans="1:14" s="5" customFormat="1" ht="33.9" customHeight="1" x14ac:dyDescent="0.25">
      <c r="A10" s="3"/>
      <c r="B10" s="18" t="s">
        <v>25</v>
      </c>
      <c r="C10" s="18" t="s">
        <v>24</v>
      </c>
      <c r="D10" s="25">
        <v>45597</v>
      </c>
      <c r="E10" s="25">
        <v>45600</v>
      </c>
      <c r="F10" s="18">
        <v>1</v>
      </c>
      <c r="G10" s="21">
        <v>1</v>
      </c>
      <c r="H10" s="25">
        <v>45600</v>
      </c>
      <c r="I10" s="25">
        <v>45600</v>
      </c>
      <c r="J10" s="18">
        <v>0.1</v>
      </c>
      <c r="K10" s="21">
        <v>1</v>
      </c>
      <c r="L10" s="18"/>
      <c r="M10" s="3"/>
    </row>
    <row r="11" spans="1:14" s="5" customFormat="1" ht="33.9" customHeight="1" x14ac:dyDescent="0.25">
      <c r="A11" s="3"/>
      <c r="B11" s="18" t="s">
        <v>26</v>
      </c>
      <c r="C11" s="18" t="s">
        <v>24</v>
      </c>
      <c r="D11" s="25">
        <v>45597</v>
      </c>
      <c r="E11" s="25">
        <v>45599</v>
      </c>
      <c r="F11" s="18">
        <v>2</v>
      </c>
      <c r="G11" s="21">
        <f>IF(COUNTA('Project tracker'!$D11,'Project tracker'!$E11)&lt;&gt;2,"",DAYS360('Project tracker'!$D11,'Project tracker'!$E11,FALSE))</f>
        <v>2</v>
      </c>
      <c r="H11" s="25">
        <v>45599</v>
      </c>
      <c r="I11" s="25">
        <v>45599</v>
      </c>
      <c r="J11" s="18">
        <v>1</v>
      </c>
      <c r="K11" s="21">
        <v>1</v>
      </c>
      <c r="L11" s="18"/>
      <c r="M11" s="3"/>
    </row>
    <row r="12" spans="1:14" s="5" customFormat="1" ht="30" customHeight="1" x14ac:dyDescent="0.25">
      <c r="A12" s="3"/>
      <c r="B12" s="19"/>
      <c r="C12" s="19"/>
      <c r="D12" s="19"/>
      <c r="E12" s="20"/>
      <c r="F12" s="20"/>
      <c r="G12" s="19"/>
      <c r="H12" s="19"/>
      <c r="I12" s="20"/>
      <c r="J12" s="20"/>
      <c r="K12" s="19"/>
      <c r="L12" s="19"/>
      <c r="M12" s="19"/>
      <c r="N12" s="3"/>
    </row>
  </sheetData>
  <conditionalFormatting sqref="J5:J11">
    <cfRule type="expression" dxfId="1" priority="1">
      <formula>(ABS((J5-F5))/F5)&gt;FlagPercent</formula>
    </cfRule>
  </conditionalFormatting>
  <conditionalFormatting sqref="K5:K11">
    <cfRule type="expression" dxfId="0" priority="2">
      <formula>(ABS((K5-G5))/G5)&gt;FlagPercent</formula>
    </cfRule>
  </conditionalFormatting>
  <dataValidations count="13">
    <dataValidation allowBlank="1" showInputMessage="1" showErrorMessage="1" prompt="Enter project names in this column" sqref="B4" xr:uid="{00000000-0002-0000-0000-000006000000}"/>
    <dataValidation allowBlank="1" showInputMessage="1" showErrorMessage="1" prompt="Select the Employee name from the dropdown list in each cell in this column. Options are defined in the Setup worksheet. Press ALT+DOWN ARROW to navigate the list, then ENTER to make a selection" sqref="C4" xr:uid="{00000000-0002-0000-0000-000008000000}"/>
    <dataValidation allowBlank="1" showInputMessage="1" showErrorMessage="1" prompt="Enter the estimated project start date in this column" sqref="D4" xr:uid="{00000000-0002-0000-0000-000009000000}"/>
    <dataValidation allowBlank="1" showInputMessage="1" showErrorMessage="1" prompt="Enter the estimated project finish date in this column" sqref="E4" xr:uid="{00000000-0002-0000-0000-00000A000000}"/>
    <dataValidation allowBlank="1" showInputMessage="1" showErrorMessage="1" prompt="Enter estimated project work in hours" sqref="F4" xr:uid="{00000000-0002-0000-0000-00000B000000}"/>
    <dataValidation allowBlank="1" showInputMessage="1" showErrorMessage="1" prompt="Estimated duration in days is auto calculated in this column" sqref="G4" xr:uid="{00000000-0002-0000-0000-00000C000000}"/>
    <dataValidation allowBlank="1" showInputMessage="1" showErrorMessage="1" prompt="Enter the actual project start date in this column" sqref="H4" xr:uid="{00000000-0002-0000-0000-00000D000000}"/>
    <dataValidation allowBlank="1" showInputMessage="1" showErrorMessage="1" prompt="Enter the actual project finish date in this column" sqref="I4" xr:uid="{00000000-0002-0000-0000-00000E000000}"/>
    <dataValidation allowBlank="1" showInputMessage="1" showErrorMessage="1" prompt="Enter the actual project work in hours. Values that meet the Over/Under criteria are highlighted bold font styling." sqref="J4" xr:uid="{00000000-0002-0000-0000-000011000000}"/>
    <dataValidation allowBlank="1" showInputMessage="1" showErrorMessage="1" prompt="Actual number of days is auto calculated in this column. Values that meet the Over/Under criteria are highlighted bold font styling." sqref="K4" xr:uid="{00000000-0002-0000-0000-000012000000}"/>
    <dataValidation allowBlank="1" showInputMessage="1" showErrorMessage="1" prompt="Enter notes for projects in this column" sqref="L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errorStyle="warning" allowBlank="1" showInputMessage="1" showErrorMessage="1" error="Select an employee from the list or create a new employee to display in this list from the Setup worksheet." sqref="C8 C10 C11 C5 C6 C7 C9" xr:uid="{3E4F38A2-AE86-4E10-ADA2-F735AC384BE1}">
      <formula1>EmployeeList</formula1>
    </dataValidation>
  </dataValidations>
  <printOptions horizontalCentered="1"/>
  <pageMargins left="0.25" right="0.25" top="0.5" bottom="0.5" header="0.3" footer="0.3"/>
  <pageSetup fitToHeight="0" orientation="landscape" r:id="rId1"/>
  <headerFooter differentFirst="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C4"/>
  <sheetViews>
    <sheetView workbookViewId="0"/>
  </sheetViews>
  <sheetFormatPr defaultColWidth="8.7265625" defaultRowHeight="13.8" x14ac:dyDescent="0.25"/>
  <cols>
    <col min="1" max="1" width="12.7265625" style="27" customWidth="1"/>
    <col min="2" max="2" width="20.08984375" style="27" customWidth="1"/>
    <col min="3" max="3" width="16.7265625" style="27" customWidth="1"/>
    <col min="4" max="16384" width="8.7265625" style="27"/>
  </cols>
  <sheetData>
    <row r="1" spans="1:3" x14ac:dyDescent="0.25">
      <c r="A1" s="27" t="s">
        <v>27</v>
      </c>
      <c r="B1" s="27" t="s">
        <v>28</v>
      </c>
      <c r="C1" s="27" t="s">
        <v>29</v>
      </c>
    </row>
    <row r="2" spans="1:3" x14ac:dyDescent="0.25">
      <c r="A2" s="27" t="s">
        <v>30</v>
      </c>
    </row>
    <row r="3" spans="1:3" x14ac:dyDescent="0.25">
      <c r="A3" s="27" t="s">
        <v>31</v>
      </c>
    </row>
    <row r="4" spans="1:3" x14ac:dyDescent="0.25">
      <c r="A4" s="27" t="s">
        <v>32</v>
      </c>
    </row>
  </sheetData>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zoomScale="70" zoomScaleNormal="70" workbookViewId="0">
      <selection activeCell="C7" sqref="C7"/>
    </sheetView>
  </sheetViews>
  <sheetFormatPr defaultColWidth="9" defaultRowHeight="30" customHeight="1" x14ac:dyDescent="0.25"/>
  <cols>
    <col min="1" max="1" width="6.7265625" style="12" customWidth="1"/>
    <col min="2" max="3" width="18.453125" style="23" customWidth="1"/>
    <col min="4" max="4" width="6.7265625" style="13" customWidth="1"/>
    <col min="5" max="16384" width="9" style="1"/>
  </cols>
  <sheetData>
    <row r="1" spans="1:4" customFormat="1" ht="30" customHeight="1" x14ac:dyDescent="0.25">
      <c r="A1" s="12"/>
      <c r="B1" s="12"/>
      <c r="C1" s="12"/>
      <c r="D1" s="12"/>
    </row>
    <row r="2" spans="1:4" customFormat="1" ht="80.099999999999994" customHeight="1" x14ac:dyDescent="0.25">
      <c r="A2" s="12"/>
      <c r="B2" s="16" t="s">
        <v>33</v>
      </c>
      <c r="C2" s="13"/>
      <c r="D2" s="13"/>
    </row>
    <row r="3" spans="1:4" customFormat="1" ht="30" customHeight="1" x14ac:dyDescent="0.25">
      <c r="A3" s="12"/>
      <c r="B3" s="13"/>
      <c r="C3" s="13"/>
      <c r="D3" s="13"/>
    </row>
    <row r="4" spans="1:4" customFormat="1" ht="62.1" customHeight="1" x14ac:dyDescent="0.25">
      <c r="A4" s="14"/>
      <c r="B4" s="22" t="s">
        <v>34</v>
      </c>
      <c r="C4" s="22" t="s">
        <v>35</v>
      </c>
      <c r="D4" s="15"/>
    </row>
    <row r="5" spans="1:4" customFormat="1" ht="33.9" customHeight="1" x14ac:dyDescent="0.25">
      <c r="A5" s="12"/>
      <c r="B5" s="22" t="s">
        <v>36</v>
      </c>
      <c r="C5" s="22" t="s">
        <v>37</v>
      </c>
      <c r="D5" s="13"/>
    </row>
    <row r="6" spans="1:4" customFormat="1" ht="33.9" customHeight="1" x14ac:dyDescent="0.25">
      <c r="A6" s="12"/>
      <c r="B6" s="22" t="s">
        <v>38</v>
      </c>
      <c r="C6" s="22" t="s">
        <v>39</v>
      </c>
      <c r="D6" s="13"/>
    </row>
    <row r="7" spans="1:4" customFormat="1" ht="33.9" customHeight="1" x14ac:dyDescent="0.25">
      <c r="A7" s="12"/>
      <c r="B7" s="22" t="s">
        <v>40</v>
      </c>
      <c r="C7" s="22" t="s">
        <v>24</v>
      </c>
      <c r="D7" s="13"/>
    </row>
    <row r="8" spans="1:4" customFormat="1" ht="33.9" customHeight="1" x14ac:dyDescent="0.25">
      <c r="A8" s="12"/>
      <c r="B8" s="22" t="s">
        <v>41</v>
      </c>
      <c r="C8" s="22" t="s">
        <v>42</v>
      </c>
      <c r="D8" s="13"/>
    </row>
    <row r="9" spans="1:4" customFormat="1" ht="33.9" customHeight="1" x14ac:dyDescent="0.25">
      <c r="A9" s="12"/>
      <c r="B9" s="22" t="s">
        <v>43</v>
      </c>
      <c r="C9" s="22" t="s">
        <v>44</v>
      </c>
      <c r="D9" s="13"/>
    </row>
    <row r="10" spans="1:4" customFormat="1" ht="33.9" customHeight="1" x14ac:dyDescent="0.25">
      <c r="A10" s="12"/>
      <c r="B10" s="22" t="s">
        <v>45</v>
      </c>
      <c r="C10" s="22" t="s">
        <v>46</v>
      </c>
      <c r="D10" s="13"/>
    </row>
    <row r="11" spans="1:4" customFormat="1" ht="30" customHeight="1" x14ac:dyDescent="0.25">
      <c r="A11" s="12"/>
      <c r="B11" s="23"/>
      <c r="C11" s="23"/>
      <c r="D11" s="13"/>
    </row>
  </sheetData>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8F31BC-5AA3-42BF-80F4-A797E59C4FBD}">
  <ds:schemaRefs>
    <ds:schemaRef ds:uri="http://schemas.microsoft.com/sharepoint/v3/contenttype/forms"/>
  </ds:schemaRefs>
</ds:datastoreItem>
</file>

<file path=customXml/itemProps2.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Project tracker</vt:lpstr>
      <vt:lpstr>Task Lookup</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2024-11-14T04:36:01Z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