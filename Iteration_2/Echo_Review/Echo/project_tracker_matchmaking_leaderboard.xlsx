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224"/>
  <workbookPr filterPrivacy="1" codeName="ThisWorkbook"/>
  <xr:revisionPtr revIDLastSave="0" documentId="8_{B0CB76D6-0BCE-498D-90FA-945819F8D11B}" xr6:coauthVersionLast="47" xr6:coauthVersionMax="47" xr10:uidLastSave="{00000000-0000-0000-0000-000000000000}"/>
  <bookViews>
    <workbookView xWindow="-108" yWindow="-108" windowWidth="23256" windowHeight="12576" xr2:uid="{00000000-000D-0000-FFFF-FFFF00000000}"/>
  </bookViews>
  <sheets>
    <sheet name="Project tracker" sheetId="1" r:id="rId1"/>
    <sheet name="Task Lookup" sheetId="3" r:id="rId2"/>
    <sheet name="Setup" sheetId="2" r:id="rId3"/>
  </sheets>
  <definedNames>
    <definedName name="CategoryList">Setup!$B$5:$B$10</definedName>
    <definedName name="EmployeeList">Setup!$C$5:$C$10</definedName>
    <definedName name="FlagPercent">'Project tracker'!$G$2</definedName>
    <definedName name="_xlnm.Print_Titles" localSheetId="0">'Project tracker'!$4:$4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1" l="1"/>
  <c r="D8" i="1"/>
  <c r="E8" i="1"/>
  <c r="I8" i="1"/>
  <c r="I7" i="1"/>
  <c r="H7" i="1"/>
  <c r="E7" i="1"/>
  <c r="D7" i="1"/>
  <c r="G5" i="1" l="1"/>
  <c r="G8" i="1"/>
  <c r="G6" i="1" l="1"/>
  <c r="G7" i="1"/>
  <c r="K5" i="1"/>
  <c r="G11" i="1"/>
  <c r="K6" i="1"/>
</calcChain>
</file>

<file path=xl/sharedStrings.xml><?xml version="1.0" encoding="utf-8"?>
<sst xmlns="http://schemas.openxmlformats.org/spreadsheetml/2006/main" count="52" uniqueCount="47">
  <si>
    <t>Project Task Tracker</t>
  </si>
  <si>
    <t>Percent over/under to highlighted numbers</t>
  </si>
  <si>
    <t>Task</t>
  </si>
  <si>
    <t>Assigned to</t>
  </si>
  <si>
    <t>Estimated start</t>
  </si>
  <si>
    <t>Estimated finish</t>
  </si>
  <si>
    <t>Estimated work (in hours)</t>
  </si>
  <si>
    <t>Estimated duration
(in days)</t>
  </si>
  <si>
    <t>Actual start</t>
  </si>
  <si>
    <t>Actual finish</t>
  </si>
  <si>
    <t>Actual work 
(in hours)</t>
  </si>
  <si>
    <t>Actual duration (in days)</t>
  </si>
  <si>
    <t>Notes</t>
  </si>
  <si>
    <t xml:space="preserve">Placement Test Use Case </t>
  </si>
  <si>
    <t>Student 1</t>
  </si>
  <si>
    <t>Finished the Placement Test Use Case for the description and diagram</t>
  </si>
  <si>
    <t>Placement Test Structure Diagram</t>
  </si>
  <si>
    <t xml:space="preserve">Created the PlacementTest class and its part of the structure diagram with the methods that will be used for it </t>
  </si>
  <si>
    <t>Adjust Rating Use Case</t>
  </si>
  <si>
    <t>Student 2</t>
  </si>
  <si>
    <t>Wrote out the use case description for Adjust Rating</t>
  </si>
  <si>
    <t>Adjust Rating Class and Diagrams</t>
  </si>
  <si>
    <t>Created the AdjustRating class and its methods and added them to the use case and structure diagrams</t>
  </si>
  <si>
    <t>Matchmake Use Case</t>
  </si>
  <si>
    <t>Student 3</t>
  </si>
  <si>
    <t>Matchmake Structure Diagram</t>
  </si>
  <si>
    <t>Matchmake Class Code</t>
  </si>
  <si>
    <t>Task Number</t>
  </si>
  <si>
    <t>Task Name</t>
  </si>
  <si>
    <t>Task Description</t>
  </si>
  <si>
    <t>Task 1</t>
  </si>
  <si>
    <t>Task 2</t>
  </si>
  <si>
    <t>Task 3</t>
  </si>
  <si>
    <t>Setup</t>
  </si>
  <si>
    <t>Category Name</t>
  </si>
  <si>
    <t>Employee Name</t>
  </si>
  <si>
    <t>Category 1</t>
  </si>
  <si>
    <t>Jessica Truong</t>
  </si>
  <si>
    <t>Category 2</t>
  </si>
  <si>
    <t>Saif Farag</t>
  </si>
  <si>
    <t>Category 3</t>
  </si>
  <si>
    <t>Category 4</t>
  </si>
  <si>
    <t>Student 4</t>
  </si>
  <si>
    <t>Category 5</t>
  </si>
  <si>
    <t>Student 5</t>
  </si>
  <si>
    <t>Category 6</t>
  </si>
  <si>
    <t>Student 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</si>
</sst>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Over/Under flag&quot;;&quot;&quot;;&quot;&quot;"/>
  </numFmts>
  <fonts count="22">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48"/>
      <color theme="9" tint="-0.499984740745262"/>
      <name val="Calibri"/>
      <family val="2"/>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28">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4" fillId="4" borderId="0" xfId="8" applyFont="1" applyFill="1" applyAlignment="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21" fillId="4" borderId="0" xfId="9" applyFont="1" applyFill="1" applyAlignment="1">
      <alignment vertical="center"/>
    </xf>
    <xf numFmtId="0" fontId="19" fillId="0" borderId="0" xfId="0" applyFont="1">
      <alignment vertical="center"/>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6">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9"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ont>
        <b/>
        <i val="0"/>
      </font>
    </dxf>
    <dxf>
      <font>
        <b/>
        <i val="0"/>
        <color auto="1"/>
      </font>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Custom Table Style" defaultPivotStyle="PivotStyleMedium2">
    <tableStyle name="Custom Table Style" pivot="0" count="2" xr9:uid="{00000000-0011-0000-FFFF-FFFF00000000}">
      <tableStyleElement type="wholeTable" dxfId="25"/>
      <tableStyleElement type="headerRow" dxfId="24"/>
    </tableStyle>
    <tableStyle name="Custom Table Style 2" pivot="0" count="2" xr9:uid="{FFDA21C0-6F5D-4BB1-A228-A4BC4D9DA682}">
      <tableStyleElement type="wholeTable" dxfId="23"/>
      <tableStyleElement type="headerRow" dxfId="22"/>
    </tableStyle>
    <tableStyle name="Table Style 1" pivot="0" count="3" xr9:uid="{5F9F0DBC-1B06-494D-8D4F-D10423CEAFF4}">
      <tableStyleElement type="headerRow" dxfId="21"/>
      <tableStyleElement type="firstRowStripe" dxfId="20"/>
      <tableStyleElement type="secondRowStripe" dxfId="19"/>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12</xdr:col>
      <xdr:colOff>952966</xdr:colOff>
      <xdr:row>1</xdr:row>
      <xdr:rowOff>323851</xdr:rowOff>
    </xdr:from>
    <xdr:to>
      <xdr:col>13</xdr:col>
      <xdr:colOff>466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L11" totalsRowShown="0" headerRowDxfId="16" dataDxfId="15">
  <autoFilter ref="B4:L11"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00000000-0010-0000-0000-000001000000}" name="Task" dataDxfId="14"/>
    <tableColumn id="3" xr3:uid="{00000000-0010-0000-0000-000003000000}" name="Assigned to" dataDxfId="13"/>
    <tableColumn id="4" xr3:uid="{00000000-0010-0000-0000-000004000000}" name="Estimated start" dataDxfId="12"/>
    <tableColumn id="5" xr3:uid="{00000000-0010-0000-0000-000005000000}" name="Estimated finish" dataDxfId="11"/>
    <tableColumn id="6" xr3:uid="{00000000-0010-0000-0000-000006000000}" name="Estimated work (in hours)" dataDxfId="10"/>
    <tableColumn id="7" xr3:uid="{00000000-0010-0000-0000-000007000000}" name="Estimated duration_x000a_(in days)" dataDxfId="9">
      <calculatedColumnFormula>IF(COUNTA('Project tracker'!$D5,'Project tracker'!$E5)&lt;&gt;2,"",DAYS360('Project tracker'!$D5,'Project tracker'!$E5,FALSE))</calculatedColumnFormula>
    </tableColumn>
    <tableColumn id="8" xr3:uid="{00000000-0010-0000-0000-000008000000}" name="Actual start" dataDxfId="8"/>
    <tableColumn id="9" xr3:uid="{00000000-0010-0000-0000-000009000000}" name="Actual finish" dataDxfId="7"/>
    <tableColumn id="10" xr3:uid="{00000000-0010-0000-0000-00000A000000}" name="Actual work _x000a_(in hours)" dataDxfId="6"/>
    <tableColumn id="11" xr3:uid="{00000000-0010-0000-0000-00000B000000}" name="Actual duration (in days)" dataDxfId="5">
      <calculatedColumnFormula>IF(COUNTA('Project tracker'!$H5,'Project tracker'!$I5)&lt;&gt;2,"",DAYS360('Project tracker'!$H5,'Project tracker'!$I5,FALSE))</calculatedColumnFormula>
    </tableColumn>
    <tableColumn id="12" xr3:uid="{00000000-0010-0000-0000-00000C000000}" name="Notes" dataDxfId="4"/>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10" totalsRowShown="0" headerRowDxfId="3" dataDxfId="2">
  <autoFilter ref="B4:C10" xr:uid="{00000000-0009-0000-0100-000003000000}">
    <filterColumn colId="0" hiddenButton="1"/>
    <filterColumn colId="1" hiddenButton="1"/>
  </autoFilter>
  <tableColumns count="2">
    <tableColumn id="1" xr3:uid="{00000000-0010-0000-0100-000001000000}" name="Category Name" dataDxfId="1"/>
    <tableColumn id="2" xr3:uid="{00000000-0010-0000-0100-000002000000}" name="Employee Name" dataDxfId="0"/>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N12"/>
  <sheetViews>
    <sheetView showGridLines="0" tabSelected="1" topLeftCell="A2" zoomScale="60" zoomScaleNormal="60" workbookViewId="0">
      <selection activeCell="J13" sqref="J13"/>
    </sheetView>
  </sheetViews>
  <sheetFormatPr defaultColWidth="9.09765625" defaultRowHeight="30" customHeight="1"/>
  <cols>
    <col min="1" max="1" width="6.69921875" style="3" customWidth="1"/>
    <col min="2" max="4" width="18.69921875" style="19" customWidth="1"/>
    <col min="5" max="6" width="18.69921875" style="20" customWidth="1"/>
    <col min="7" max="8" width="18.69921875" style="19" customWidth="1"/>
    <col min="9" max="10" width="16.796875" style="20" customWidth="1"/>
    <col min="11" max="12" width="16" style="19" customWidth="1"/>
    <col min="13" max="13" width="20.3984375" style="19" customWidth="1"/>
    <col min="14" max="14" width="6.69921875" style="3" customWidth="1"/>
    <col min="15" max="15" width="4.19921875" style="2" customWidth="1"/>
    <col min="16" max="40" width="3.296875" style="2" customWidth="1"/>
    <col min="41" max="16384" width="9.09765625" style="2"/>
  </cols>
  <sheetData>
    <row r="1" spans="1:14" s="5" customFormat="1" ht="30" customHeight="1">
      <c r="A1" s="3"/>
      <c r="B1" s="3"/>
      <c r="C1" s="3"/>
      <c r="D1" s="3"/>
      <c r="E1" s="4"/>
      <c r="F1" s="4"/>
      <c r="G1" s="3"/>
      <c r="H1" s="3"/>
      <c r="I1" s="4"/>
      <c r="J1" s="4"/>
      <c r="K1" s="3"/>
      <c r="L1" s="3"/>
      <c r="M1" s="3"/>
      <c r="N1" s="3"/>
    </row>
    <row r="2" spans="1:14" s="5" customFormat="1" ht="80.099999999999994" customHeight="1">
      <c r="A2" s="3"/>
      <c r="B2" s="26" t="s">
        <v>0</v>
      </c>
      <c r="C2" s="6"/>
      <c r="D2" s="6"/>
      <c r="E2" s="7"/>
      <c r="F2" s="8" t="s">
        <v>1</v>
      </c>
      <c r="G2" s="9">
        <v>0.25</v>
      </c>
      <c r="H2" s="3"/>
      <c r="I2" s="4"/>
      <c r="J2" s="4"/>
      <c r="K2" s="3"/>
      <c r="L2" s="3"/>
      <c r="M2" s="3"/>
      <c r="N2" s="3"/>
    </row>
    <row r="3" spans="1:14" s="5" customFormat="1" ht="30" customHeight="1">
      <c r="A3" s="3"/>
      <c r="B3" s="3"/>
      <c r="C3" s="3"/>
      <c r="D3" s="3"/>
      <c r="E3" s="10"/>
      <c r="F3" s="10"/>
      <c r="G3" s="3"/>
      <c r="H3" s="3"/>
      <c r="I3" s="10"/>
      <c r="J3" s="10"/>
      <c r="K3" s="3"/>
      <c r="L3" s="3"/>
      <c r="M3" s="3"/>
      <c r="N3" s="3"/>
    </row>
    <row r="4" spans="1:14" s="5" customFormat="1" ht="62.1" customHeight="1">
      <c r="A4" s="11"/>
      <c r="B4" s="17" t="s">
        <v>2</v>
      </c>
      <c r="C4" s="17" t="s">
        <v>3</v>
      </c>
      <c r="D4" s="24" t="s">
        <v>4</v>
      </c>
      <c r="E4" s="24" t="s">
        <v>5</v>
      </c>
      <c r="F4" s="17" t="s">
        <v>6</v>
      </c>
      <c r="G4" s="17" t="s">
        <v>7</v>
      </c>
      <c r="H4" s="24" t="s">
        <v>8</v>
      </c>
      <c r="I4" s="24" t="s">
        <v>9</v>
      </c>
      <c r="J4" s="17" t="s">
        <v>10</v>
      </c>
      <c r="K4" s="17" t="s">
        <v>11</v>
      </c>
      <c r="L4" s="17" t="s">
        <v>12</v>
      </c>
      <c r="M4" s="11"/>
    </row>
    <row r="5" spans="1:14" s="5" customFormat="1" ht="33.950000000000003" customHeight="1">
      <c r="A5" s="3"/>
      <c r="B5" s="18" t="s">
        <v>13</v>
      </c>
      <c r="C5" s="18" t="s">
        <v>14</v>
      </c>
      <c r="D5" s="25">
        <v>45595</v>
      </c>
      <c r="E5" s="25">
        <v>45600</v>
      </c>
      <c r="F5" s="18">
        <v>3</v>
      </c>
      <c r="G5" s="21">
        <f>IF(COUNTA('Project tracker'!$D5,'Project tracker'!$E5)&lt;&gt;2,"",DAYS360('Project tracker'!$D5,'Project tracker'!$E5,FALSE))</f>
        <v>4</v>
      </c>
      <c r="H5" s="25">
        <v>45595</v>
      </c>
      <c r="I5" s="25">
        <v>45600</v>
      </c>
      <c r="J5" s="18">
        <v>3</v>
      </c>
      <c r="K5" s="21">
        <f>IF(COUNTA('Project tracker'!$H5,'Project tracker'!$I5)&lt;&gt;2,"",DAYS360('Project tracker'!$H5,'Project tracker'!$I5,FALSE))</f>
        <v>4</v>
      </c>
      <c r="L5" s="18" t="s">
        <v>15</v>
      </c>
      <c r="M5" s="3"/>
    </row>
    <row r="6" spans="1:14" s="5" customFormat="1" ht="33.950000000000003" customHeight="1">
      <c r="A6" s="3"/>
      <c r="B6" s="18" t="s">
        <v>16</v>
      </c>
      <c r="C6" s="18" t="s">
        <v>14</v>
      </c>
      <c r="D6" s="25">
        <v>45597</v>
      </c>
      <c r="E6" s="25">
        <v>45600</v>
      </c>
      <c r="F6" s="18">
        <v>1</v>
      </c>
      <c r="G6" s="21">
        <f>IF(COUNTA('Project tracker'!$D6,'Project tracker'!$E6)&lt;&gt;2,"",DAYS360('Project tracker'!$D6,'Project tracker'!$E6,FALSE))</f>
        <v>3</v>
      </c>
      <c r="H6" s="25">
        <v>45597</v>
      </c>
      <c r="I6" s="25">
        <v>45600</v>
      </c>
      <c r="J6" s="18">
        <v>2</v>
      </c>
      <c r="K6" s="21">
        <f>IF(COUNTA('Project tracker'!$H6,'Project tracker'!$I6)&lt;&gt;2,"",DAYS360('Project tracker'!$H6,'Project tracker'!$I6,FALSE))</f>
        <v>3</v>
      </c>
      <c r="L6" s="18" t="s">
        <v>17</v>
      </c>
      <c r="M6" s="3"/>
    </row>
    <row r="7" spans="1:14" s="5" customFormat="1" ht="33.950000000000003" customHeight="1">
      <c r="A7" s="3"/>
      <c r="B7" s="18" t="s">
        <v>18</v>
      </c>
      <c r="C7" s="18" t="s">
        <v>19</v>
      </c>
      <c r="D7" s="25">
        <f ca="1">TODAY()-4</f>
        <v>45597</v>
      </c>
      <c r="E7" s="25">
        <f ca="1">TODAY()-4</f>
        <v>45597</v>
      </c>
      <c r="F7" s="18">
        <v>1</v>
      </c>
      <c r="G7" s="21">
        <f ca="1">IF(COUNTA('Project tracker'!$D7,'Project tracker'!$E7)&lt;&gt;2,"",DAYS360('Project tracker'!$D7,'Project tracker'!$E7,FALSE))</f>
        <v>0</v>
      </c>
      <c r="H7" s="25">
        <f ca="1">TODAY()-4</f>
        <v>45597</v>
      </c>
      <c r="I7" s="25">
        <f ca="1">TODAY()-4</f>
        <v>45597</v>
      </c>
      <c r="J7" s="18">
        <v>1</v>
      </c>
      <c r="K7" s="21">
        <v>1</v>
      </c>
      <c r="L7" s="18" t="s">
        <v>20</v>
      </c>
      <c r="M7" s="3"/>
    </row>
    <row r="8" spans="1:14" s="5" customFormat="1" ht="33.950000000000003" customHeight="1">
      <c r="A8" s="3"/>
      <c r="B8" s="18" t="s">
        <v>21</v>
      </c>
      <c r="C8" s="18" t="s">
        <v>19</v>
      </c>
      <c r="D8" s="25">
        <f ca="1">TODAY()-3</f>
        <v>45598</v>
      </c>
      <c r="E8" s="25">
        <f ca="1">TODAY()-3</f>
        <v>45598</v>
      </c>
      <c r="F8" s="18">
        <v>3</v>
      </c>
      <c r="G8" s="21">
        <f ca="1">IF(COUNTA('Project tracker'!$D8,'Project tracker'!$E8)&lt;&gt;2,"",DAYS360('Project tracker'!$D8,'Project tracker'!$E8,FALSE))</f>
        <v>0</v>
      </c>
      <c r="H8" s="25">
        <f ca="1">TODAY()-3</f>
        <v>45598</v>
      </c>
      <c r="I8" s="25">
        <f ca="1">TODAY()-3</f>
        <v>45598</v>
      </c>
      <c r="J8" s="18">
        <v>5</v>
      </c>
      <c r="K8" s="21">
        <v>1</v>
      </c>
      <c r="L8" s="18" t="s">
        <v>22</v>
      </c>
      <c r="M8" s="3"/>
    </row>
    <row r="9" spans="1:14" s="5" customFormat="1" ht="33.950000000000003" customHeight="1">
      <c r="A9" s="3"/>
      <c r="B9" s="18" t="s">
        <v>23</v>
      </c>
      <c r="C9" s="18" t="s">
        <v>24</v>
      </c>
      <c r="D9" s="25">
        <v>45597</v>
      </c>
      <c r="E9" s="25">
        <v>45600</v>
      </c>
      <c r="F9" s="18">
        <v>1</v>
      </c>
      <c r="G9" s="21">
        <v>1</v>
      </c>
      <c r="H9" s="25">
        <v>45600</v>
      </c>
      <c r="I9" s="25">
        <v>45600</v>
      </c>
      <c r="J9" s="18">
        <v>0.17</v>
      </c>
      <c r="K9" s="21">
        <v>1</v>
      </c>
      <c r="L9" s="18"/>
      <c r="M9" s="3"/>
    </row>
    <row r="10" spans="1:14" s="5" customFormat="1" ht="33.950000000000003" customHeight="1">
      <c r="A10" s="3"/>
      <c r="B10" s="18" t="s">
        <v>25</v>
      </c>
      <c r="C10" s="18" t="s">
        <v>24</v>
      </c>
      <c r="D10" s="25">
        <v>45597</v>
      </c>
      <c r="E10" s="25">
        <v>45600</v>
      </c>
      <c r="F10" s="18">
        <v>1</v>
      </c>
      <c r="G10" s="21">
        <v>1</v>
      </c>
      <c r="H10" s="25">
        <v>45600</v>
      </c>
      <c r="I10" s="25">
        <v>45600</v>
      </c>
      <c r="J10" s="18">
        <v>0.1</v>
      </c>
      <c r="K10" s="21">
        <v>1</v>
      </c>
      <c r="L10" s="18"/>
      <c r="M10" s="3"/>
    </row>
    <row r="11" spans="1:14" s="5" customFormat="1" ht="33.950000000000003" customHeight="1">
      <c r="A11" s="3"/>
      <c r="B11" s="18" t="s">
        <v>26</v>
      </c>
      <c r="C11" s="18" t="s">
        <v>24</v>
      </c>
      <c r="D11" s="25">
        <v>45597</v>
      </c>
      <c r="E11" s="25">
        <v>45599</v>
      </c>
      <c r="F11" s="18">
        <v>2</v>
      </c>
      <c r="G11" s="21">
        <f>IF(COUNTA('Project tracker'!$D11,'Project tracker'!$E11)&lt;&gt;2,"",DAYS360('Project tracker'!$D11,'Project tracker'!$E11,FALSE))</f>
        <v>2</v>
      </c>
      <c r="H11" s="25">
        <v>45599</v>
      </c>
      <c r="I11" s="25">
        <v>45599</v>
      </c>
      <c r="J11" s="18">
        <v>1</v>
      </c>
      <c r="K11" s="21">
        <v>1</v>
      </c>
      <c r="L11" s="18"/>
      <c r="M11" s="3"/>
    </row>
    <row r="12" spans="1:14" s="5" customFormat="1" ht="30" customHeight="1">
      <c r="A12" s="3"/>
      <c r="B12" s="19"/>
      <c r="C12" s="19"/>
      <c r="D12" s="19"/>
      <c r="E12" s="20"/>
      <c r="F12" s="20"/>
      <c r="G12" s="19"/>
      <c r="H12" s="19"/>
      <c r="I12" s="20"/>
      <c r="J12" s="20"/>
      <c r="K12" s="19"/>
      <c r="L12" s="19"/>
      <c r="M12" s="19"/>
      <c r="N12" s="3"/>
    </row>
  </sheetData>
  <conditionalFormatting sqref="J5:J11">
    <cfRule type="expression" dxfId="18" priority="1">
      <formula>(ABS((J5-F5))/F5)&gt;FlagPercent</formula>
    </cfRule>
  </conditionalFormatting>
  <conditionalFormatting sqref="K5:K11">
    <cfRule type="expression" dxfId="17" priority="2">
      <formula>(ABS((K5-G5))/G5)&gt;FlagPercent</formula>
    </cfRule>
  </conditionalFormatting>
  <dataValidations count="13">
    <dataValidation allowBlank="1" showInputMessage="1" showErrorMessage="1" prompt="Enter project names in this column" sqref="B4" xr:uid="{00000000-0002-0000-0000-000006000000}"/>
    <dataValidation allowBlank="1" showInputMessage="1" showErrorMessage="1" prompt="Select the Employee name from the dropdown list in each cell in this column. Options are defined in the Setup worksheet. Press ALT+DOWN ARROW to navigate the list, then ENTER to make a selection" sqref="C4" xr:uid="{00000000-0002-0000-0000-000008000000}"/>
    <dataValidation allowBlank="1" showInputMessage="1" showErrorMessage="1" prompt="Enter the estimated project start date in this column" sqref="D4" xr:uid="{00000000-0002-0000-0000-000009000000}"/>
    <dataValidation allowBlank="1" showInputMessage="1" showErrorMessage="1" prompt="Enter the estimated project finish date in this column" sqref="E4" xr:uid="{00000000-0002-0000-0000-00000A000000}"/>
    <dataValidation allowBlank="1" showInputMessage="1" showErrorMessage="1" prompt="Enter estimated project work in hours" sqref="F4" xr:uid="{00000000-0002-0000-0000-00000B000000}"/>
    <dataValidation allowBlank="1" showInputMessage="1" showErrorMessage="1" prompt="Estimated duration in days is auto calculated in this column" sqref="G4" xr:uid="{00000000-0002-0000-0000-00000C000000}"/>
    <dataValidation allowBlank="1" showInputMessage="1" showErrorMessage="1" prompt="Enter the actual project start date in this column" sqref="H4" xr:uid="{00000000-0002-0000-0000-00000D000000}"/>
    <dataValidation allowBlank="1" showInputMessage="1" showErrorMessage="1" prompt="Enter the actual project finish date in this column" sqref="I4" xr:uid="{00000000-0002-0000-0000-00000E000000}"/>
    <dataValidation allowBlank="1" showInputMessage="1" showErrorMessage="1" prompt="Enter the actual project work in hours. Values that meet the Over/Under criteria are highlighted bold font styling." sqref="J4" xr:uid="{00000000-0002-0000-0000-000011000000}"/>
    <dataValidation allowBlank="1" showInputMessage="1" showErrorMessage="1" prompt="Actual number of days is auto calculated in this column. Values that meet the Over/Under criteria are highlighted bold font styling." sqref="K4" xr:uid="{00000000-0002-0000-0000-000012000000}"/>
    <dataValidation allowBlank="1" showInputMessage="1" showErrorMessage="1" prompt="Enter notes for projects in this column" sqref="L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errorStyle="warning" allowBlank="1" showInputMessage="1" showErrorMessage="1" error="Select an employee from the list or create a new employee to display in this list from the Setup worksheet." sqref="C8 C10 C11 C5 C6 C7 C9" xr:uid="{3E4F38A2-AE86-4E10-ADA2-F735AC384BE1}">
      <formula1>EmployeeList</formula1>
    </dataValidation>
  </dataValidations>
  <printOptions horizontalCentered="1"/>
  <pageMargins left="0.25" right="0.25" top="0.5" bottom="0.5" header="0.3" footer="0.3"/>
  <pageSetup fitToHeight="0" orientation="landscape" r:id="rId1"/>
  <headerFooter differentFirst="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F64F2-A0CB-432E-B537-8AB164D6506B}">
  <dimension ref="A1:C4"/>
  <sheetViews>
    <sheetView workbookViewId="0">
      <selection activeCell="B5" sqref="B5"/>
    </sheetView>
  </sheetViews>
  <sheetFormatPr defaultColWidth="8.69921875" defaultRowHeight="13.9"/>
  <cols>
    <col min="1" max="1" width="12.69921875" style="27" customWidth="1"/>
    <col min="2" max="2" width="20.09765625" style="27" customWidth="1"/>
    <col min="3" max="3" width="16.69921875" style="27" customWidth="1"/>
    <col min="4" max="16384" width="8.69921875" style="27"/>
  </cols>
  <sheetData>
    <row r="1" spans="1:3">
      <c r="A1" s="27" t="s">
        <v>27</v>
      </c>
      <c r="B1" s="27" t="s">
        <v>28</v>
      </c>
      <c r="C1" s="27" t="s">
        <v>29</v>
      </c>
    </row>
    <row r="2" spans="1:3">
      <c r="A2" s="27" t="s">
        <v>30</v>
      </c>
    </row>
    <row r="3" spans="1:3">
      <c r="A3" s="27" t="s">
        <v>31</v>
      </c>
    </row>
    <row r="4" spans="1:3">
      <c r="A4" s="27" t="s">
        <v>32</v>
      </c>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11"/>
  <sheetViews>
    <sheetView showGridLines="0" zoomScale="70" zoomScaleNormal="70" workbookViewId="0">
      <selection activeCell="G4" sqref="G4"/>
    </sheetView>
  </sheetViews>
  <sheetFormatPr defaultColWidth="9" defaultRowHeight="30" customHeight="1"/>
  <cols>
    <col min="1" max="1" width="6.69921875" style="12" customWidth="1"/>
    <col min="2" max="3" width="18.5" style="23" customWidth="1"/>
    <col min="4" max="4" width="6.69921875" style="13" customWidth="1"/>
    <col min="5" max="16384" width="9" style="1"/>
  </cols>
  <sheetData>
    <row r="1" spans="1:4" customFormat="1" ht="30" customHeight="1">
      <c r="A1" s="12"/>
      <c r="B1" s="12"/>
      <c r="C1" s="12"/>
      <c r="D1" s="12"/>
    </row>
    <row r="2" spans="1:4" customFormat="1" ht="80.099999999999994" customHeight="1">
      <c r="A2" s="12"/>
      <c r="B2" s="16" t="s">
        <v>33</v>
      </c>
      <c r="C2" s="13"/>
      <c r="D2" s="13"/>
    </row>
    <row r="3" spans="1:4" customFormat="1" ht="30" customHeight="1">
      <c r="A3" s="12"/>
      <c r="B3" s="13"/>
      <c r="C3" s="13"/>
      <c r="D3" s="13"/>
    </row>
    <row r="4" spans="1:4" customFormat="1" ht="62.1" customHeight="1">
      <c r="A4" s="14"/>
      <c r="B4" s="22" t="s">
        <v>34</v>
      </c>
      <c r="C4" s="22" t="s">
        <v>35</v>
      </c>
      <c r="D4" s="15"/>
    </row>
    <row r="5" spans="1:4" customFormat="1" ht="33.950000000000003" customHeight="1">
      <c r="A5" s="12"/>
      <c r="B5" s="22" t="s">
        <v>36</v>
      </c>
      <c r="C5" s="22" t="s">
        <v>37</v>
      </c>
      <c r="D5" s="13"/>
    </row>
    <row r="6" spans="1:4" customFormat="1" ht="33.950000000000003" customHeight="1">
      <c r="A6" s="12"/>
      <c r="B6" s="22" t="s">
        <v>38</v>
      </c>
      <c r="C6" s="22" t="s">
        <v>39</v>
      </c>
      <c r="D6" s="13"/>
    </row>
    <row r="7" spans="1:4" customFormat="1" ht="33.950000000000003" customHeight="1">
      <c r="A7" s="12"/>
      <c r="B7" s="22" t="s">
        <v>40</v>
      </c>
      <c r="C7" s="22" t="s">
        <v>24</v>
      </c>
      <c r="D7" s="13"/>
    </row>
    <row r="8" spans="1:4" customFormat="1" ht="33.950000000000003" customHeight="1">
      <c r="A8" s="12"/>
      <c r="B8" s="22" t="s">
        <v>41</v>
      </c>
      <c r="C8" s="22" t="s">
        <v>42</v>
      </c>
      <c r="D8" s="13"/>
    </row>
    <row r="9" spans="1:4" customFormat="1" ht="33.950000000000003" customHeight="1">
      <c r="A9" s="12"/>
      <c r="B9" s="22" t="s">
        <v>43</v>
      </c>
      <c r="C9" s="22" t="s">
        <v>44</v>
      </c>
      <c r="D9" s="13"/>
    </row>
    <row r="10" spans="1:4" customFormat="1" ht="33.950000000000003" customHeight="1">
      <c r="A10" s="12"/>
      <c r="B10" s="22" t="s">
        <v>45</v>
      </c>
      <c r="C10" s="22" t="s">
        <v>46</v>
      </c>
      <c r="D10" s="13"/>
    </row>
    <row r="11" spans="1:4" customFormat="1" ht="30" customHeight="1">
      <c r="A11" s="12"/>
      <c r="B11" s="23"/>
      <c r="C11" s="23"/>
      <c r="D11" s="13"/>
    </row>
  </sheetData>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66C173-72E5-4455-ACFB-9A7596D30A2B}"/>
</file>

<file path=customXml/itemProps2.xml><?xml version="1.0" encoding="utf-8"?>
<ds:datastoreItem xmlns:ds="http://schemas.openxmlformats.org/officeDocument/2006/customXml" ds:itemID="{D99023F8-0F96-4650-8DC3-63EE0BD6CB59}"/>
</file>

<file path=customXml/itemProps3.xml><?xml version="1.0" encoding="utf-8"?>
<ds:datastoreItem xmlns:ds="http://schemas.openxmlformats.org/officeDocument/2006/customXml" ds:itemID="{648F31BC-5AA3-42BF-80F4-A797E59C4FBD}"/>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2023-09-18T03:49:03Z</dcterms:created>
  <dcterms:modified xsi:type="dcterms:W3CDTF">2024-11-06T01:14:18Z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